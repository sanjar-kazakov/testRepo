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sanjar/Desktop/"/>
    </mc:Choice>
  </mc:AlternateContent>
  <xr:revisionPtr revIDLastSave="0" documentId="13_ncr:1_{E6793B60-8C49-B849-A9C8-B504B400FEF6}" xr6:coauthVersionLast="47" xr6:coauthVersionMax="47" xr10:uidLastSave="{00000000-0000-0000-0000-000000000000}"/>
  <bookViews>
    <workbookView xWindow="980" yWindow="500" windowWidth="12780" windowHeight="17500" xr2:uid="{00000000-000D-0000-FFFF-FFFF00000000}"/>
  </bookViews>
  <sheets>
    <sheet name="ABC-анализ" sheetId="1" r:id="rId1"/>
  </sheets>
  <calcPr calcId="191029"/>
</workbook>
</file>

<file path=xl/calcChain.xml><?xml version="1.0" encoding="utf-8"?>
<calcChain xmlns="http://schemas.openxmlformats.org/spreadsheetml/2006/main"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8" i="1"/>
</calcChain>
</file>

<file path=xl/sharedStrings.xml><?xml version="1.0" encoding="utf-8"?>
<sst xmlns="http://schemas.openxmlformats.org/spreadsheetml/2006/main" count="420" uniqueCount="102">
  <si>
    <t>ABC-анализ</t>
  </si>
  <si>
    <t>Склады: FF, г. Минск, Маяковского 14 ( МАТЕРИАЛЫ ), FF, г. Минск, Маяковского 14 ( РОЗНИЦА ), FF, г. Минск, Маяковского 14 ( КУХНЯ ), FS, г. Минск, ул. Маяковского 14 ( КУХНЯ ), FS, г. Минск, ул. Маяковского 14 ( МАТЕРИАЛЫ ), FS, г. Минск, ТЦ "Диамонд" ( БАР ), FS, г. Минск, ТЦ "Диамонд" ( КУХНЯ ), FS, г. Минск, ТЦ "Диамонд" ( МАТЕРИАЛЫ ), FS, Колл-центр</t>
  </si>
  <si>
    <t>Период: с 26.08.2021 по 11.10.2021</t>
  </si>
  <si>
    <t>Распределение групп в ABC-анализе: A 50% (0 - 50%), B 30% (50 - 80%), C 20% (80 - 100%)</t>
  </si>
  <si>
    <t>Количество продаж</t>
  </si>
  <si>
    <t>Выручка</t>
  </si>
  <si>
    <t>Прибыль</t>
  </si>
  <si>
    <t>Фудкост</t>
  </si>
  <si>
    <t>Наименование</t>
  </si>
  <si>
    <t>Ед. изм.</t>
  </si>
  <si>
    <t>шт./ед.</t>
  </si>
  <si>
    <t>ABC</t>
  </si>
  <si>
    <t>р.</t>
  </si>
  <si>
    <t>%</t>
  </si>
  <si>
    <t>Татаки ролл с лососем</t>
  </si>
  <si>
    <t>порц</t>
  </si>
  <si>
    <t>B</t>
  </si>
  <si>
    <t>A</t>
  </si>
  <si>
    <t>Торонто ролл</t>
  </si>
  <si>
    <t>C</t>
  </si>
  <si>
    <t>Филадельфия</t>
  </si>
  <si>
    <t>Тянь-Шань ролл</t>
  </si>
  <si>
    <t>Филадельфия Тропикана ролл</t>
  </si>
  <si>
    <t>Филадельфия Терияки ролл</t>
  </si>
  <si>
    <t>Фламинго ролл</t>
  </si>
  <si>
    <t>Ролл с морским гребешком и креветкой</t>
  </si>
  <si>
    <t>Грин ролл</t>
  </si>
  <si>
    <t>Голден Ролл</t>
  </si>
  <si>
    <t>Фудзи ролл</t>
  </si>
  <si>
    <t>Ролл с лососем и Тобико</t>
  </si>
  <si>
    <t>Королевский ролл</t>
  </si>
  <si>
    <t>Шанхай ролл</t>
  </si>
  <si>
    <t>Сахалин ролл</t>
  </si>
  <si>
    <t>Манчестер ролл</t>
  </si>
  <si>
    <t>Таийо ролл</t>
  </si>
  <si>
    <t>Маривасе ролл</t>
  </si>
  <si>
    <t>Ролл с опаленным лососем и креветкой</t>
  </si>
  <si>
    <t>Татаки ролл с креветкой</t>
  </si>
  <si>
    <t>Такояма ролл</t>
  </si>
  <si>
    <t>Аляска ролл</t>
  </si>
  <si>
    <t>Ролл с угрём и миндалём</t>
  </si>
  <si>
    <t>Ролл с креветкой и лососем</t>
  </si>
  <si>
    <t>Вест Ролл</t>
  </si>
  <si>
    <t>Фиеста ролл</t>
  </si>
  <si>
    <t>Темпура ролл с копченой форелью</t>
  </si>
  <si>
    <t>Кунсей ролл</t>
  </si>
  <si>
    <t>Канада ролл</t>
  </si>
  <si>
    <t>Калифорния ролл</t>
  </si>
  <si>
    <t>Ролл с угрем</t>
  </si>
  <si>
    <t>Матсусима ролл</t>
  </si>
  <si>
    <t>Ролл с копченой форелью и авокадо</t>
  </si>
  <si>
    <t>Номиоко ролл</t>
  </si>
  <si>
    <t>Джакарта ролл</t>
  </si>
  <si>
    <t>Ролл с креветкой темпура</t>
  </si>
  <si>
    <t>Калифорния Уайт ролл</t>
  </si>
  <si>
    <t>Ролл с лососем</t>
  </si>
  <si>
    <t>Ролл с лососем и манго</t>
  </si>
  <si>
    <t>Сырный Джо</t>
  </si>
  <si>
    <t>Эверест ролл</t>
  </si>
  <si>
    <t>Темпура изумитай ролл</t>
  </si>
  <si>
    <t>Ролл с угрём и авокадо</t>
  </si>
  <si>
    <t>Ролл с копчёной форелью</t>
  </si>
  <si>
    <t>Осака ролл</t>
  </si>
  <si>
    <t>Магуро ролл</t>
  </si>
  <si>
    <t>Ролл с угрём и хлопьями тунца</t>
  </si>
  <si>
    <t>Бонито ролл</t>
  </si>
  <si>
    <t>Ринго ролл</t>
  </si>
  <si>
    <t>Ролл с лососем в кунжуте</t>
  </si>
  <si>
    <t>Миссури ролл</t>
  </si>
  <si>
    <t>Ролл с копченой форелью в беконе</t>
  </si>
  <si>
    <t>Темпура ролл с беконом</t>
  </si>
  <si>
    <t>Ролл с опаленным окунем и яблоком</t>
  </si>
  <si>
    <t>Ролл с лососем и авокадо</t>
  </si>
  <si>
    <t>Ролл с креветкой в беконе</t>
  </si>
  <si>
    <t>Темпура ролл с лососем</t>
  </si>
  <si>
    <t>Филадельфия с авокадо</t>
  </si>
  <si>
    <t>Ролл с креветкой и авокадо</t>
  </si>
  <si>
    <t>Санрайз ролл</t>
  </si>
  <si>
    <t>Сырная Мэри</t>
  </si>
  <si>
    <t>Ролл с копчёной форелью в кунжуте</t>
  </si>
  <si>
    <t>Ролл с копчёной креветкой</t>
  </si>
  <si>
    <t>Ролл с угрем и огурцом</t>
  </si>
  <si>
    <t>Темпура ролл с окунем</t>
  </si>
  <si>
    <t>Ролл с лососем и сливочным сыром</t>
  </si>
  <si>
    <t>Ролл с лососем в чукке</t>
  </si>
  <si>
    <t>Ролл с креветкой</t>
  </si>
  <si>
    <t>Ролл с тунцом и лососем</t>
  </si>
  <si>
    <t>Ролл с креветкой в Тамаго</t>
  </si>
  <si>
    <t>Кигуруми ролл</t>
  </si>
  <si>
    <t>Атари ролл</t>
  </si>
  <si>
    <t>Мидори ролл</t>
  </si>
  <si>
    <t>Ролл с тунцом</t>
  </si>
  <si>
    <t>Темпура ролл с креветкой</t>
  </si>
  <si>
    <t>Темпура ролл с тунцом</t>
  </si>
  <si>
    <t>Тай Айсберг ролл</t>
  </si>
  <si>
    <t>Ролл с авокадо</t>
  </si>
  <si>
    <t>Ролл с огурцом</t>
  </si>
  <si>
    <t>Себес</t>
  </si>
  <si>
    <t>Прод. цена</t>
  </si>
  <si>
    <t>новая цена</t>
  </si>
  <si>
    <t>переделать</t>
  </si>
  <si>
    <t>НовыйФудкост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</si>
</sst>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Br&quot;_-;\-* #,##0.00\ &quot;Br&quot;_-;_-* &quot;-&quot;??\ &quot;Br&quot;_-;_-@_-"/>
    <numFmt numFmtId="164" formatCode="#########################0.000;\-#########################0.000"/>
    <numFmt numFmtId="165" formatCode="###,###,###,###,###,###,###,###,##0.00%;\-###,###,###,###,###,###,###,###,##0.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Tahoma"/>
      <family val="2"/>
    </font>
    <font>
      <sz val="11"/>
      <color rgb="FFCF7D00"/>
      <name val="Tahoma"/>
      <family val="2"/>
    </font>
    <font>
      <sz val="11"/>
      <color rgb="FF006100"/>
      <name val="Tahoma"/>
      <family val="2"/>
    </font>
    <font>
      <sz val="11"/>
      <color rgb="FF9C0006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9A9A9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medium">
        <color indexed="64"/>
      </left>
      <right style="thin">
        <color rgb="FFA9A9A9"/>
      </right>
      <top style="medium">
        <color indexed="64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NumberFormat="1" applyFont="1" applyAlignment="1">
      <alignment horizontal="left" vertical="top" wrapText="1" readingOrder="1"/>
    </xf>
    <xf numFmtId="0" fontId="0" fillId="0" borderId="0" xfId="0" applyFont="1"/>
    <xf numFmtId="49" fontId="3" fillId="2" borderId="1" xfId="0" applyNumberFormat="1" applyFont="1" applyFill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164" fontId="4" fillId="4" borderId="1" xfId="0" applyNumberFormat="1" applyFont="1" applyFill="1" applyBorder="1" applyAlignment="1">
      <alignment horizontal="right" vertical="center" readingOrder="1"/>
    </xf>
    <xf numFmtId="49" fontId="4" fillId="4" borderId="1" xfId="0" applyNumberFormat="1" applyFont="1" applyFill="1" applyBorder="1" applyAlignment="1">
      <alignment horizontal="center" vertical="center" readingOrder="1"/>
    </xf>
    <xf numFmtId="4" fontId="5" fillId="5" borderId="1" xfId="0" applyNumberFormat="1" applyFont="1" applyFill="1" applyBorder="1" applyAlignment="1">
      <alignment horizontal="right" vertical="center" readingOrder="1"/>
    </xf>
    <xf numFmtId="49" fontId="5" fillId="5" borderId="1" xfId="0" applyNumberFormat="1" applyFont="1" applyFill="1" applyBorder="1" applyAlignment="1">
      <alignment horizontal="center" vertical="center" readingOrder="1"/>
    </xf>
    <xf numFmtId="4" fontId="4" fillId="4" borderId="1" xfId="0" applyNumberFormat="1" applyFont="1" applyFill="1" applyBorder="1" applyAlignment="1">
      <alignment horizontal="right" vertical="center" readingOrder="1"/>
    </xf>
    <xf numFmtId="164" fontId="6" fillId="6" borderId="1" xfId="0" applyNumberFormat="1" applyFont="1" applyFill="1" applyBorder="1" applyAlignment="1">
      <alignment horizontal="right" vertical="center" readingOrder="1"/>
    </xf>
    <xf numFmtId="49" fontId="6" fillId="6" borderId="1" xfId="0" applyNumberFormat="1" applyFont="1" applyFill="1" applyBorder="1" applyAlignment="1">
      <alignment horizontal="center" vertical="center" readingOrder="1"/>
    </xf>
    <xf numFmtId="4" fontId="6" fillId="6" borderId="1" xfId="0" applyNumberFormat="1" applyFont="1" applyFill="1" applyBorder="1" applyAlignment="1">
      <alignment horizontal="right" vertical="center" readingOrder="1"/>
    </xf>
    <xf numFmtId="4" fontId="6" fillId="6" borderId="1" xfId="0" applyNumberFormat="1" applyFont="1" applyFill="1" applyBorder="1" applyAlignment="1">
      <alignment horizontal="right" vertical="center" readingOrder="1"/>
    </xf>
    <xf numFmtId="164" fontId="5" fillId="5" borderId="1" xfId="0" applyNumberFormat="1" applyFont="1" applyFill="1" applyBorder="1" applyAlignment="1">
      <alignment horizontal="right" vertical="center" readingOrder="1"/>
    </xf>
    <xf numFmtId="4" fontId="5" fillId="5" borderId="1" xfId="0" applyNumberFormat="1" applyFont="1" applyFill="1" applyBorder="1" applyAlignment="1">
      <alignment horizontal="right" vertical="center" readingOrder="1"/>
    </xf>
    <xf numFmtId="4" fontId="4" fillId="4" borderId="1" xfId="0" applyNumberFormat="1" applyFont="1" applyFill="1" applyBorder="1" applyAlignment="1">
      <alignment horizontal="right" vertical="center" readingOrder="1"/>
    </xf>
    <xf numFmtId="0" fontId="3" fillId="7" borderId="2" xfId="0" applyNumberFormat="1" applyFont="1" applyFill="1" applyBorder="1" applyAlignment="1">
      <alignment horizontal="right" vertical="center" readingOrder="1"/>
    </xf>
    <xf numFmtId="4" fontId="3" fillId="7" borderId="3" xfId="0" applyNumberFormat="1" applyFont="1" applyFill="1" applyBorder="1" applyAlignment="1">
      <alignment horizontal="right" vertical="center" readingOrder="1"/>
    </xf>
    <xf numFmtId="0" fontId="3" fillId="7" borderId="4" xfId="0" applyNumberFormat="1" applyFont="1" applyFill="1" applyBorder="1" applyAlignment="1">
      <alignment horizontal="right" vertical="center" readingOrder="1"/>
    </xf>
    <xf numFmtId="4" fontId="3" fillId="7" borderId="3" xfId="0" applyNumberFormat="1" applyFont="1" applyFill="1" applyBorder="1" applyAlignment="1">
      <alignment horizontal="right" vertical="center" readingOrder="1"/>
    </xf>
    <xf numFmtId="0" fontId="3" fillId="7" borderId="5" xfId="0" applyNumberFormat="1" applyFont="1" applyFill="1" applyBorder="1" applyAlignment="1">
      <alignment horizontal="right" vertical="center" readingOrder="1"/>
    </xf>
    <xf numFmtId="165" fontId="3" fillId="3" borderId="1" xfId="0" applyNumberFormat="1" applyFont="1" applyFill="1" applyBorder="1" applyAlignment="1">
      <alignment horizontal="center" vertical="center" readingOrder="1"/>
    </xf>
    <xf numFmtId="0" fontId="0" fillId="0" borderId="0" xfId="0" applyFont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readingOrder="1"/>
    </xf>
    <xf numFmtId="44" fontId="0" fillId="0" borderId="0" xfId="0" applyNumberFormat="1" applyFont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 readingOrder="1"/>
    </xf>
    <xf numFmtId="44" fontId="3" fillId="3" borderId="1" xfId="0" applyNumberFormat="1" applyFont="1" applyFill="1" applyBorder="1" applyAlignment="1">
      <alignment horizontal="center" vertical="center" readingOrder="1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44" fontId="3" fillId="2" borderId="1" xfId="1" applyFont="1" applyFill="1" applyBorder="1" applyAlignment="1">
      <alignment horizontal="center" vertical="center" readingOrder="1"/>
    </xf>
    <xf numFmtId="44" fontId="3" fillId="3" borderId="1" xfId="1" applyFont="1" applyFill="1" applyBorder="1" applyAlignment="1">
      <alignment horizontal="center" vertical="center" readingOrder="1"/>
    </xf>
    <xf numFmtId="49" fontId="3" fillId="8" borderId="1" xfId="0" applyNumberFormat="1" applyFont="1" applyFill="1" applyBorder="1" applyAlignment="1">
      <alignment horizontal="left" vertical="center" readingOrder="1"/>
    </xf>
    <xf numFmtId="44" fontId="3" fillId="8" borderId="1" xfId="1" applyFont="1" applyFill="1" applyBorder="1" applyAlignment="1">
      <alignment horizontal="center" vertical="center" readingOrder="1"/>
    </xf>
    <xf numFmtId="49" fontId="3" fillId="3" borderId="6" xfId="0" applyNumberFormat="1" applyFont="1" applyFill="1" applyBorder="1" applyAlignment="1">
      <alignment horizontal="left" vertical="center" readingOrder="1"/>
    </xf>
    <xf numFmtId="164" fontId="4" fillId="4" borderId="6" xfId="0" applyNumberFormat="1" applyFont="1" applyFill="1" applyBorder="1" applyAlignment="1">
      <alignment horizontal="right" vertical="center" readingOrder="1"/>
    </xf>
    <xf numFmtId="49" fontId="4" fillId="4" borderId="6" xfId="0" applyNumberFormat="1" applyFont="1" applyFill="1" applyBorder="1" applyAlignment="1">
      <alignment horizontal="center" vertical="center" readingOrder="1"/>
    </xf>
    <xf numFmtId="4" fontId="6" fillId="6" borderId="6" xfId="0" applyNumberFormat="1" applyFont="1" applyFill="1" applyBorder="1" applyAlignment="1">
      <alignment horizontal="right" vertical="center" readingOrder="1"/>
    </xf>
    <xf numFmtId="49" fontId="6" fillId="6" borderId="6" xfId="0" applyNumberFormat="1" applyFont="1" applyFill="1" applyBorder="1" applyAlignment="1">
      <alignment horizontal="center" vertical="center" readingOrder="1"/>
    </xf>
    <xf numFmtId="4" fontId="6" fillId="6" borderId="6" xfId="0" applyNumberFormat="1" applyFont="1" applyFill="1" applyBorder="1" applyAlignment="1">
      <alignment horizontal="right" vertical="center" readingOrder="1"/>
    </xf>
    <xf numFmtId="165" fontId="3" fillId="3" borderId="6" xfId="0" applyNumberFormat="1" applyFont="1" applyFill="1" applyBorder="1" applyAlignment="1">
      <alignment horizontal="center" vertical="center" readingOrder="1"/>
    </xf>
    <xf numFmtId="44" fontId="3" fillId="3" borderId="6" xfId="0" applyNumberFormat="1" applyFont="1" applyFill="1" applyBorder="1" applyAlignment="1">
      <alignment horizontal="center" vertical="center" readingOrder="1"/>
    </xf>
    <xf numFmtId="44" fontId="3" fillId="3" borderId="6" xfId="1" applyFont="1" applyFill="1" applyBorder="1" applyAlignment="1">
      <alignment horizontal="center" vertical="center" readingOrder="1"/>
    </xf>
    <xf numFmtId="10" fontId="3" fillId="3" borderId="6" xfId="2" applyNumberFormat="1" applyFont="1" applyFill="1" applyBorder="1" applyAlignment="1">
      <alignment horizontal="center" vertical="center" readingOrder="1"/>
    </xf>
    <xf numFmtId="49" fontId="3" fillId="3" borderId="7" xfId="0" applyNumberFormat="1" applyFont="1" applyFill="1" applyBorder="1" applyAlignment="1">
      <alignment horizontal="left" vertical="center" readingOrder="1"/>
    </xf>
    <xf numFmtId="164" fontId="4" fillId="4" borderId="7" xfId="0" applyNumberFormat="1" applyFont="1" applyFill="1" applyBorder="1" applyAlignment="1">
      <alignment horizontal="right" vertical="center" readingOrder="1"/>
    </xf>
    <xf numFmtId="49" fontId="4" fillId="4" borderId="7" xfId="0" applyNumberFormat="1" applyFont="1" applyFill="1" applyBorder="1" applyAlignment="1">
      <alignment horizontal="center" vertical="center" readingOrder="1"/>
    </xf>
    <xf numFmtId="4" fontId="5" fillId="5" borderId="7" xfId="0" applyNumberFormat="1" applyFont="1" applyFill="1" applyBorder="1" applyAlignment="1">
      <alignment horizontal="right" vertical="center" readingOrder="1"/>
    </xf>
    <xf numFmtId="49" fontId="5" fillId="5" borderId="7" xfId="0" applyNumberFormat="1" applyFont="1" applyFill="1" applyBorder="1" applyAlignment="1">
      <alignment horizontal="center" vertical="center" readingOrder="1"/>
    </xf>
    <xf numFmtId="4" fontId="5" fillId="5" borderId="7" xfId="0" applyNumberFormat="1" applyFont="1" applyFill="1" applyBorder="1" applyAlignment="1">
      <alignment horizontal="right" vertical="center" readingOrder="1"/>
    </xf>
    <xf numFmtId="165" fontId="3" fillId="3" borderId="7" xfId="0" applyNumberFormat="1" applyFont="1" applyFill="1" applyBorder="1" applyAlignment="1">
      <alignment horizontal="center" vertical="center" readingOrder="1"/>
    </xf>
    <xf numFmtId="44" fontId="3" fillId="3" borderId="7" xfId="0" applyNumberFormat="1" applyFont="1" applyFill="1" applyBorder="1" applyAlignment="1">
      <alignment horizontal="center" vertical="center" readingOrder="1"/>
    </xf>
    <xf numFmtId="44" fontId="3" fillId="3" borderId="7" xfId="1" applyFont="1" applyFill="1" applyBorder="1" applyAlignment="1">
      <alignment horizontal="center" vertical="center" readingOrder="1"/>
    </xf>
    <xf numFmtId="10" fontId="3" fillId="3" borderId="7" xfId="2" applyNumberFormat="1" applyFont="1" applyFill="1" applyBorder="1" applyAlignment="1">
      <alignment horizontal="center" vertical="center" readingOrder="1"/>
    </xf>
    <xf numFmtId="49" fontId="3" fillId="8" borderId="8" xfId="0" applyNumberFormat="1" applyFont="1" applyFill="1" applyBorder="1" applyAlignment="1">
      <alignment horizontal="left" vertical="center" readingOrder="1"/>
    </xf>
    <xf numFmtId="49" fontId="3" fillId="3" borderId="9" xfId="0" applyNumberFormat="1" applyFont="1" applyFill="1" applyBorder="1" applyAlignment="1">
      <alignment horizontal="left" vertical="center" readingOrder="1"/>
    </xf>
    <xf numFmtId="164" fontId="6" fillId="6" borderId="9" xfId="0" applyNumberFormat="1" applyFont="1" applyFill="1" applyBorder="1" applyAlignment="1">
      <alignment horizontal="right" vertical="center" readingOrder="1"/>
    </xf>
    <xf numFmtId="49" fontId="6" fillId="6" borderId="9" xfId="0" applyNumberFormat="1" applyFont="1" applyFill="1" applyBorder="1" applyAlignment="1">
      <alignment horizontal="center" vertical="center" readingOrder="1"/>
    </xf>
    <xf numFmtId="4" fontId="6" fillId="6" borderId="9" xfId="0" applyNumberFormat="1" applyFont="1" applyFill="1" applyBorder="1" applyAlignment="1">
      <alignment horizontal="right" vertical="center" readingOrder="1"/>
    </xf>
    <xf numFmtId="4" fontId="6" fillId="6" borderId="9" xfId="0" applyNumberFormat="1" applyFont="1" applyFill="1" applyBorder="1" applyAlignment="1">
      <alignment horizontal="right" vertical="center" readingOrder="1"/>
    </xf>
    <xf numFmtId="165" fontId="3" fillId="3" borderId="9" xfId="0" applyNumberFormat="1" applyFont="1" applyFill="1" applyBorder="1" applyAlignment="1">
      <alignment horizontal="center" vertical="center" readingOrder="1"/>
    </xf>
    <xf numFmtId="44" fontId="3" fillId="3" borderId="9" xfId="0" applyNumberFormat="1" applyFont="1" applyFill="1" applyBorder="1" applyAlignment="1">
      <alignment horizontal="center" vertical="center" readingOrder="1"/>
    </xf>
    <xf numFmtId="44" fontId="3" fillId="3" borderId="9" xfId="1" applyFont="1" applyFill="1" applyBorder="1" applyAlignment="1">
      <alignment horizontal="center" vertical="center" readingOrder="1"/>
    </xf>
    <xf numFmtId="10" fontId="3" fillId="3" borderId="9" xfId="2" applyNumberFormat="1" applyFont="1" applyFill="1" applyBorder="1" applyAlignment="1">
      <alignment horizontal="center" vertical="center" readingOrder="1"/>
    </xf>
    <xf numFmtId="44" fontId="3" fillId="8" borderId="9" xfId="1" applyFont="1" applyFill="1" applyBorder="1" applyAlignment="1">
      <alignment horizontal="center" vertical="center" readingOrder="1"/>
    </xf>
    <xf numFmtId="0" fontId="2" fillId="0" borderId="10" xfId="0" applyFont="1" applyBorder="1"/>
    <xf numFmtId="0" fontId="0" fillId="0" borderId="11" xfId="0" applyFont="1" applyBorder="1"/>
    <xf numFmtId="49" fontId="3" fillId="0" borderId="1" xfId="0" applyNumberFormat="1" applyFont="1" applyFill="1" applyBorder="1" applyAlignment="1">
      <alignment horizontal="left" vertical="center" readingOrder="1"/>
    </xf>
    <xf numFmtId="44" fontId="3" fillId="0" borderId="1" xfId="1" applyFont="1" applyFill="1" applyBorder="1" applyAlignment="1">
      <alignment horizontal="center" vertical="center" readingOrder="1"/>
    </xf>
    <xf numFmtId="44" fontId="3" fillId="9" borderId="1" xfId="1" applyFont="1" applyFill="1" applyBorder="1" applyAlignment="1">
      <alignment horizontal="center" vertical="center" readingOrder="1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Q87"/>
  <sheetViews>
    <sheetView showGridLines="0" tabSelected="1" zoomScale="150" zoomScaleNormal="120" workbookViewId="0">
      <pane xSplit="1" ySplit="6" topLeftCell="M8" activePane="bottomRight" state="frozen"/>
      <selection pane="topRight" activeCell="B1" sqref="B1"/>
      <selection pane="bottomLeft" activeCell="A7" sqref="A7"/>
      <selection pane="bottomRight" activeCell="P17" sqref="P17"/>
    </sheetView>
  </sheetViews>
  <sheetFormatPr baseColWidth="10" defaultColWidth="8.83203125" defaultRowHeight="19" customHeight="1" x14ac:dyDescent="0.2"/>
  <cols>
    <col min="1" max="1" width="35.6640625" style="2" bestFit="1" customWidth="1"/>
    <col min="2" max="2" width="8" style="2" bestFit="1" customWidth="1"/>
    <col min="3" max="3" width="13.83203125" style="2" customWidth="1"/>
    <col min="4" max="4" width="6" style="2" customWidth="1"/>
    <col min="5" max="5" width="10.5" style="2" bestFit="1" customWidth="1"/>
    <col min="6" max="6" width="5.6640625" style="2" customWidth="1"/>
    <col min="7" max="7" width="3.33203125" style="2" customWidth="1"/>
    <col min="8" max="8" width="6.1640625" style="2" customWidth="1"/>
    <col min="9" max="9" width="5.6640625" style="2" customWidth="1"/>
    <col min="10" max="10" width="11.5" style="24" customWidth="1"/>
    <col min="11" max="11" width="11.5" style="26" customWidth="1"/>
    <col min="12" max="12" width="11.5" style="30" customWidth="1"/>
    <col min="13" max="13" width="11.5" style="24" customWidth="1"/>
    <col min="14" max="14" width="11.5" style="30" customWidth="1"/>
    <col min="15" max="15" width="15" style="24" customWidth="1"/>
    <col min="16" max="16384" width="8.83203125" style="2"/>
  </cols>
  <sheetData>
    <row r="1" spans="1:15" ht="19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L1" s="29"/>
      <c r="M1" s="2"/>
      <c r="N1" s="29"/>
      <c r="O1" s="2"/>
    </row>
    <row r="2" spans="1:15" ht="19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L2" s="29"/>
      <c r="M2" s="2"/>
      <c r="N2" s="29"/>
      <c r="O2" s="2"/>
    </row>
    <row r="3" spans="1:15" ht="19" customHeight="1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L3" s="29"/>
      <c r="M3" s="2"/>
      <c r="N3" s="29"/>
      <c r="O3" s="2"/>
    </row>
    <row r="4" spans="1:15" ht="19" customHeight="1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L4" s="29"/>
      <c r="M4" s="2"/>
      <c r="N4" s="29"/>
      <c r="O4" s="2"/>
    </row>
    <row r="5" spans="1:15" ht="19" customHeight="1" x14ac:dyDescent="0.2">
      <c r="A5" s="1"/>
      <c r="B5" s="1"/>
      <c r="C5" s="1"/>
      <c r="D5" s="1"/>
      <c r="E5" s="1"/>
      <c r="F5" s="1"/>
      <c r="G5" s="1"/>
    </row>
    <row r="6" spans="1:15" ht="19" customHeight="1" x14ac:dyDescent="0.2">
      <c r="A6" s="3"/>
      <c r="B6" s="3"/>
      <c r="C6" s="3" t="s">
        <v>4</v>
      </c>
      <c r="D6" s="3"/>
      <c r="E6" s="3" t="s">
        <v>5</v>
      </c>
      <c r="F6" s="3"/>
      <c r="G6" s="3" t="s">
        <v>6</v>
      </c>
      <c r="H6" s="3"/>
      <c r="I6" s="3"/>
      <c r="J6" s="4" t="s">
        <v>7</v>
      </c>
      <c r="K6" s="27" t="s">
        <v>97</v>
      </c>
      <c r="L6" s="31" t="s">
        <v>98</v>
      </c>
      <c r="M6" s="4" t="s">
        <v>7</v>
      </c>
      <c r="N6" s="70" t="s">
        <v>99</v>
      </c>
      <c r="O6" s="4" t="s">
        <v>101</v>
      </c>
    </row>
    <row r="7" spans="1:15" ht="19" customHeight="1" x14ac:dyDescent="0.2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11</v>
      </c>
      <c r="G7" s="3" t="s">
        <v>12</v>
      </c>
      <c r="H7" s="3"/>
      <c r="I7" s="4" t="s">
        <v>11</v>
      </c>
      <c r="J7" s="4" t="s">
        <v>13</v>
      </c>
      <c r="K7" s="27"/>
      <c r="L7" s="31"/>
      <c r="M7" s="4" t="s">
        <v>13</v>
      </c>
      <c r="N7" s="31"/>
      <c r="O7" s="4" t="s">
        <v>13</v>
      </c>
    </row>
    <row r="8" spans="1:15" ht="19" customHeight="1" x14ac:dyDescent="0.2">
      <c r="A8" s="5" t="s">
        <v>14</v>
      </c>
      <c r="B8" s="5" t="s">
        <v>15</v>
      </c>
      <c r="C8" s="6">
        <v>138.5</v>
      </c>
      <c r="D8" s="7" t="s">
        <v>16</v>
      </c>
      <c r="E8" s="8">
        <v>1857.66</v>
      </c>
      <c r="F8" s="9" t="s">
        <v>17</v>
      </c>
      <c r="G8" s="10">
        <v>908.700019</v>
      </c>
      <c r="H8" s="10"/>
      <c r="I8" s="7" t="s">
        <v>16</v>
      </c>
      <c r="J8" s="23">
        <v>0.51083620307268285</v>
      </c>
      <c r="K8" s="28">
        <v>7.01</v>
      </c>
      <c r="L8" s="32">
        <v>14.9</v>
      </c>
      <c r="M8" s="25">
        <f>K8/L8</f>
        <v>0.4704697986577181</v>
      </c>
      <c r="N8" s="32">
        <v>15.9</v>
      </c>
      <c r="O8" s="25">
        <f>K8/N8</f>
        <v>0.44088050314465405</v>
      </c>
    </row>
    <row r="9" spans="1:15" ht="19" customHeight="1" x14ac:dyDescent="0.2">
      <c r="A9" s="33" t="s">
        <v>18</v>
      </c>
      <c r="B9" s="5" t="s">
        <v>15</v>
      </c>
      <c r="C9" s="11">
        <v>37</v>
      </c>
      <c r="D9" s="12" t="s">
        <v>19</v>
      </c>
      <c r="E9" s="13">
        <v>410.66</v>
      </c>
      <c r="F9" s="12" t="s">
        <v>19</v>
      </c>
      <c r="G9" s="14">
        <v>205.26000199999999</v>
      </c>
      <c r="H9" s="14"/>
      <c r="I9" s="12" t="s">
        <v>19</v>
      </c>
      <c r="J9" s="23">
        <v>0.50017045244240987</v>
      </c>
      <c r="K9" s="28">
        <v>4.72</v>
      </c>
      <c r="L9" s="32">
        <v>12.9</v>
      </c>
      <c r="M9" s="25">
        <f t="shared" ref="M9:M53" si="0">K9/L9</f>
        <v>0.36589147286821705</v>
      </c>
      <c r="N9" s="34"/>
      <c r="O9" s="25" t="e">
        <f t="shared" ref="O9:O46" si="1">K9/N9</f>
        <v>#DIV/0!</v>
      </c>
    </row>
    <row r="10" spans="1:15" ht="19" customHeight="1" x14ac:dyDescent="0.2">
      <c r="A10" s="5" t="s">
        <v>20</v>
      </c>
      <c r="B10" s="5" t="s">
        <v>15</v>
      </c>
      <c r="C10" s="15">
        <v>763.5</v>
      </c>
      <c r="D10" s="9" t="s">
        <v>17</v>
      </c>
      <c r="E10" s="8">
        <v>11493.37</v>
      </c>
      <c r="F10" s="9" t="s">
        <v>17</v>
      </c>
      <c r="G10" s="16">
        <v>5794.0654059999997</v>
      </c>
      <c r="H10" s="16"/>
      <c r="I10" s="9" t="s">
        <v>17</v>
      </c>
      <c r="J10" s="23">
        <v>0.49587758803553705</v>
      </c>
      <c r="K10" s="28">
        <v>7.3</v>
      </c>
      <c r="L10" s="32">
        <v>16.899999999999999</v>
      </c>
      <c r="M10" s="25">
        <f t="shared" si="0"/>
        <v>0.43195266272189353</v>
      </c>
      <c r="N10" s="32">
        <v>17.899999999999999</v>
      </c>
      <c r="O10" s="25">
        <f t="shared" si="1"/>
        <v>0.40782122905027934</v>
      </c>
    </row>
    <row r="11" spans="1:15" ht="19" customHeight="1" x14ac:dyDescent="0.2">
      <c r="A11" s="5" t="s">
        <v>21</v>
      </c>
      <c r="B11" s="5" t="s">
        <v>15</v>
      </c>
      <c r="C11" s="11">
        <v>75</v>
      </c>
      <c r="D11" s="12" t="s">
        <v>19</v>
      </c>
      <c r="E11" s="13">
        <v>734.53</v>
      </c>
      <c r="F11" s="12" t="s">
        <v>19</v>
      </c>
      <c r="G11" s="14">
        <v>388.91000400000001</v>
      </c>
      <c r="H11" s="14"/>
      <c r="I11" s="12" t="s">
        <v>19</v>
      </c>
      <c r="J11" s="23">
        <v>0.47053217159271915</v>
      </c>
      <c r="K11" s="28">
        <v>4.8099999999999996</v>
      </c>
      <c r="L11" s="32">
        <v>10.9</v>
      </c>
      <c r="M11" s="25">
        <f t="shared" si="0"/>
        <v>0.44128440366972471</v>
      </c>
      <c r="N11" s="32">
        <v>13.9</v>
      </c>
      <c r="O11" s="25">
        <f t="shared" si="1"/>
        <v>0.34604316546762587</v>
      </c>
    </row>
    <row r="12" spans="1:15" ht="19" customHeight="1" x14ac:dyDescent="0.2">
      <c r="A12" s="5" t="s">
        <v>22</v>
      </c>
      <c r="B12" s="5" t="s">
        <v>15</v>
      </c>
      <c r="C12" s="6">
        <v>113</v>
      </c>
      <c r="D12" s="7" t="s">
        <v>16</v>
      </c>
      <c r="E12" s="17">
        <v>1611.06</v>
      </c>
      <c r="F12" s="7" t="s">
        <v>16</v>
      </c>
      <c r="G12" s="10">
        <v>898.63668199999995</v>
      </c>
      <c r="H12" s="10"/>
      <c r="I12" s="7" t="s">
        <v>16</v>
      </c>
      <c r="J12" s="23">
        <v>0.44220781224783684</v>
      </c>
      <c r="K12" s="28">
        <v>6.46</v>
      </c>
      <c r="L12" s="32">
        <v>15.9</v>
      </c>
      <c r="M12" s="25">
        <f t="shared" si="0"/>
        <v>0.40628930817610059</v>
      </c>
      <c r="N12" s="32">
        <v>16.899999999999999</v>
      </c>
      <c r="O12" s="25">
        <f t="shared" si="1"/>
        <v>0.38224852071005921</v>
      </c>
    </row>
    <row r="13" spans="1:15" ht="19" customHeight="1" x14ac:dyDescent="0.2">
      <c r="A13" s="5" t="s">
        <v>23</v>
      </c>
      <c r="B13" s="5" t="s">
        <v>15</v>
      </c>
      <c r="C13" s="11">
        <v>84.5</v>
      </c>
      <c r="D13" s="12" t="s">
        <v>19</v>
      </c>
      <c r="E13" s="17">
        <v>1105.49</v>
      </c>
      <c r="F13" s="7" t="s">
        <v>16</v>
      </c>
      <c r="G13" s="10">
        <v>619.81000700000004</v>
      </c>
      <c r="H13" s="10"/>
      <c r="I13" s="7" t="s">
        <v>16</v>
      </c>
      <c r="J13" s="23">
        <v>0.439334587377543</v>
      </c>
      <c r="K13" s="28">
        <v>5.55</v>
      </c>
      <c r="L13" s="32">
        <v>14.9</v>
      </c>
      <c r="M13" s="25">
        <f t="shared" si="0"/>
        <v>0.37248322147651003</v>
      </c>
      <c r="N13" s="32">
        <v>15.9</v>
      </c>
      <c r="O13" s="25">
        <f t="shared" si="1"/>
        <v>0.34905660377358488</v>
      </c>
    </row>
    <row r="14" spans="1:15" ht="19" customHeight="1" x14ac:dyDescent="0.2">
      <c r="A14" s="5" t="s">
        <v>24</v>
      </c>
      <c r="B14" s="5" t="s">
        <v>15</v>
      </c>
      <c r="C14" s="11">
        <v>51.5</v>
      </c>
      <c r="D14" s="12" t="s">
        <v>19</v>
      </c>
      <c r="E14" s="13">
        <v>708.94</v>
      </c>
      <c r="F14" s="12" t="s">
        <v>19</v>
      </c>
      <c r="G14" s="14">
        <v>400.72000300000002</v>
      </c>
      <c r="H14" s="14"/>
      <c r="I14" s="12" t="s">
        <v>19</v>
      </c>
      <c r="J14" s="23">
        <v>0.43476175275763818</v>
      </c>
      <c r="K14" s="28">
        <v>6.12</v>
      </c>
      <c r="L14" s="32">
        <v>15.9</v>
      </c>
      <c r="M14" s="25">
        <f t="shared" si="0"/>
        <v>0.38490566037735852</v>
      </c>
      <c r="N14" s="32">
        <v>17.899999999999999</v>
      </c>
      <c r="O14" s="25">
        <f t="shared" si="1"/>
        <v>0.34189944134078215</v>
      </c>
    </row>
    <row r="15" spans="1:15" ht="19" customHeight="1" x14ac:dyDescent="0.2">
      <c r="A15" s="33" t="s">
        <v>25</v>
      </c>
      <c r="B15" s="5" t="s">
        <v>15</v>
      </c>
      <c r="C15" s="6">
        <v>105.5</v>
      </c>
      <c r="D15" s="7" t="s">
        <v>16</v>
      </c>
      <c r="E15" s="17">
        <v>1640.36</v>
      </c>
      <c r="F15" s="7" t="s">
        <v>16</v>
      </c>
      <c r="G15" s="10">
        <v>936.89001800000005</v>
      </c>
      <c r="H15" s="10"/>
      <c r="I15" s="7" t="s">
        <v>16</v>
      </c>
      <c r="J15" s="23">
        <v>0.4288509729571558</v>
      </c>
      <c r="K15" s="28">
        <v>6.49</v>
      </c>
      <c r="L15" s="32">
        <v>16.899999999999999</v>
      </c>
      <c r="M15" s="25">
        <f t="shared" si="0"/>
        <v>0.38402366863905329</v>
      </c>
      <c r="N15" s="34">
        <v>17.899999999999999</v>
      </c>
      <c r="O15" s="25">
        <f t="shared" si="1"/>
        <v>0.36256983240223467</v>
      </c>
    </row>
    <row r="16" spans="1:15" ht="19" customHeight="1" x14ac:dyDescent="0.2">
      <c r="A16" s="5" t="s">
        <v>26</v>
      </c>
      <c r="B16" s="5" t="s">
        <v>15</v>
      </c>
      <c r="C16" s="6">
        <v>122</v>
      </c>
      <c r="D16" s="7" t="s">
        <v>16</v>
      </c>
      <c r="E16" s="17">
        <v>1277.17</v>
      </c>
      <c r="F16" s="7" t="s">
        <v>16</v>
      </c>
      <c r="G16" s="10">
        <v>741.060024</v>
      </c>
      <c r="H16" s="10"/>
      <c r="I16" s="7" t="s">
        <v>16</v>
      </c>
      <c r="J16" s="23">
        <v>0.41976399069818426</v>
      </c>
      <c r="K16" s="28">
        <v>4.22</v>
      </c>
      <c r="L16" s="32">
        <v>11.9</v>
      </c>
      <c r="M16" s="25">
        <f t="shared" si="0"/>
        <v>0.35462184873949576</v>
      </c>
      <c r="N16" s="32">
        <v>12.9</v>
      </c>
      <c r="O16" s="25">
        <f t="shared" si="1"/>
        <v>0.32713178294573642</v>
      </c>
    </row>
    <row r="17" spans="1:17" ht="19" customHeight="1" x14ac:dyDescent="0.2">
      <c r="A17" s="5" t="s">
        <v>27</v>
      </c>
      <c r="B17" s="5" t="s">
        <v>15</v>
      </c>
      <c r="C17" s="11">
        <v>55.5</v>
      </c>
      <c r="D17" s="12" t="s">
        <v>19</v>
      </c>
      <c r="E17" s="13">
        <v>713</v>
      </c>
      <c r="F17" s="12" t="s">
        <v>19</v>
      </c>
      <c r="G17" s="14">
        <v>415.730006</v>
      </c>
      <c r="H17" s="14"/>
      <c r="I17" s="12" t="s">
        <v>19</v>
      </c>
      <c r="J17" s="23">
        <v>0.41692846283309959</v>
      </c>
      <c r="K17" s="28">
        <v>5.57</v>
      </c>
      <c r="L17" s="32">
        <v>14.9</v>
      </c>
      <c r="M17" s="25">
        <f t="shared" si="0"/>
        <v>0.37382550335570469</v>
      </c>
      <c r="N17" s="32">
        <v>15.9</v>
      </c>
      <c r="O17" s="25">
        <f t="shared" si="1"/>
        <v>0.35031446540880506</v>
      </c>
    </row>
    <row r="18" spans="1:17" ht="19" customHeight="1" x14ac:dyDescent="0.2">
      <c r="A18" s="33" t="s">
        <v>28</v>
      </c>
      <c r="B18" s="5" t="s">
        <v>15</v>
      </c>
      <c r="C18" s="11">
        <v>27</v>
      </c>
      <c r="D18" s="12" t="s">
        <v>19</v>
      </c>
      <c r="E18" s="13">
        <v>262.39999999999998</v>
      </c>
      <c r="F18" s="12" t="s">
        <v>19</v>
      </c>
      <c r="G18" s="14">
        <v>153.36000000000001</v>
      </c>
      <c r="H18" s="14"/>
      <c r="I18" s="12" t="s">
        <v>19</v>
      </c>
      <c r="J18" s="23">
        <v>0.41554878048780486</v>
      </c>
      <c r="K18" s="28">
        <v>4.12</v>
      </c>
      <c r="L18" s="32">
        <v>10.9</v>
      </c>
      <c r="M18" s="25">
        <f t="shared" si="0"/>
        <v>0.37798165137614681</v>
      </c>
      <c r="N18" s="34"/>
      <c r="O18" s="25" t="e">
        <f t="shared" si="1"/>
        <v>#DIV/0!</v>
      </c>
    </row>
    <row r="19" spans="1:17" ht="19" customHeight="1" x14ac:dyDescent="0.2">
      <c r="A19" s="5" t="s">
        <v>29</v>
      </c>
      <c r="B19" s="5" t="s">
        <v>15</v>
      </c>
      <c r="C19" s="6">
        <v>89</v>
      </c>
      <c r="D19" s="7" t="s">
        <v>16</v>
      </c>
      <c r="E19" s="17">
        <v>1014.66</v>
      </c>
      <c r="F19" s="7" t="s">
        <v>16</v>
      </c>
      <c r="G19" s="10">
        <v>595.67000399999995</v>
      </c>
      <c r="H19" s="10"/>
      <c r="I19" s="7" t="s">
        <v>16</v>
      </c>
      <c r="J19" s="23">
        <v>0.41293634912187333</v>
      </c>
      <c r="K19" s="28">
        <v>4.9800000000000004</v>
      </c>
      <c r="L19" s="32">
        <v>12.9</v>
      </c>
      <c r="M19" s="25">
        <f t="shared" si="0"/>
        <v>0.38604651162790699</v>
      </c>
      <c r="N19" s="32">
        <v>14.9</v>
      </c>
      <c r="O19" s="25">
        <f t="shared" si="1"/>
        <v>0.33422818791946313</v>
      </c>
    </row>
    <row r="20" spans="1:17" ht="19" customHeight="1" x14ac:dyDescent="0.2">
      <c r="A20" s="5" t="s">
        <v>30</v>
      </c>
      <c r="B20" s="5" t="s">
        <v>15</v>
      </c>
      <c r="C20" s="6">
        <v>137.5</v>
      </c>
      <c r="D20" s="7" t="s">
        <v>16</v>
      </c>
      <c r="E20" s="8">
        <v>1983.14</v>
      </c>
      <c r="F20" s="9" t="s">
        <v>17</v>
      </c>
      <c r="G20" s="16">
        <v>1168.660034</v>
      </c>
      <c r="H20" s="16"/>
      <c r="I20" s="9" t="s">
        <v>17</v>
      </c>
      <c r="J20" s="23">
        <v>0.41070220256764528</v>
      </c>
      <c r="K20" s="28">
        <v>5.94</v>
      </c>
      <c r="L20" s="32">
        <v>16.899999999999999</v>
      </c>
      <c r="M20" s="25">
        <f t="shared" si="0"/>
        <v>0.35147928994082844</v>
      </c>
      <c r="N20" s="32">
        <v>17.899999999999999</v>
      </c>
      <c r="O20" s="25">
        <f t="shared" si="1"/>
        <v>0.33184357541899445</v>
      </c>
    </row>
    <row r="21" spans="1:17" ht="19" customHeight="1" x14ac:dyDescent="0.2">
      <c r="A21" s="68" t="s">
        <v>31</v>
      </c>
      <c r="B21" s="5" t="s">
        <v>15</v>
      </c>
      <c r="C21" s="6">
        <v>113.5</v>
      </c>
      <c r="D21" s="7" t="s">
        <v>16</v>
      </c>
      <c r="E21" s="17">
        <v>1449.61</v>
      </c>
      <c r="F21" s="7" t="s">
        <v>16</v>
      </c>
      <c r="G21" s="10">
        <v>856.23001399999998</v>
      </c>
      <c r="H21" s="10"/>
      <c r="I21" s="7" t="s">
        <v>16</v>
      </c>
      <c r="J21" s="23">
        <v>0.40933767427101087</v>
      </c>
      <c r="K21" s="28">
        <v>4.8899999999999997</v>
      </c>
      <c r="L21" s="32">
        <v>13.9</v>
      </c>
      <c r="M21" s="25">
        <f t="shared" si="0"/>
        <v>0.3517985611510791</v>
      </c>
      <c r="N21" s="69">
        <v>15.9</v>
      </c>
      <c r="O21" s="25">
        <f t="shared" si="1"/>
        <v>0.30754716981132074</v>
      </c>
    </row>
    <row r="22" spans="1:17" ht="19" customHeight="1" x14ac:dyDescent="0.2">
      <c r="A22" s="33" t="s">
        <v>32</v>
      </c>
      <c r="B22" s="5" t="s">
        <v>15</v>
      </c>
      <c r="C22" s="11">
        <v>60</v>
      </c>
      <c r="D22" s="12" t="s">
        <v>19</v>
      </c>
      <c r="E22" s="13">
        <v>569.95000000000005</v>
      </c>
      <c r="F22" s="12" t="s">
        <v>19</v>
      </c>
      <c r="G22" s="14">
        <v>337.27000600000002</v>
      </c>
      <c r="H22" s="14"/>
      <c r="I22" s="12" t="s">
        <v>19</v>
      </c>
      <c r="J22" s="23">
        <v>0.40824632687077816</v>
      </c>
      <c r="K22" s="28">
        <v>3.62</v>
      </c>
      <c r="L22" s="32">
        <v>10.9</v>
      </c>
      <c r="M22" s="25">
        <f t="shared" si="0"/>
        <v>0.33211009174311928</v>
      </c>
      <c r="N22" s="34"/>
      <c r="O22" s="25" t="e">
        <f t="shared" si="1"/>
        <v>#DIV/0!</v>
      </c>
    </row>
    <row r="23" spans="1:17" ht="19" customHeight="1" x14ac:dyDescent="0.2">
      <c r="A23" s="33" t="s">
        <v>33</v>
      </c>
      <c r="B23" s="5" t="s">
        <v>15</v>
      </c>
      <c r="C23" s="11">
        <v>53</v>
      </c>
      <c r="D23" s="12" t="s">
        <v>19</v>
      </c>
      <c r="E23" s="13">
        <v>541.13</v>
      </c>
      <c r="F23" s="12" t="s">
        <v>19</v>
      </c>
      <c r="G23" s="14">
        <v>322.48</v>
      </c>
      <c r="H23" s="14"/>
      <c r="I23" s="12" t="s">
        <v>19</v>
      </c>
      <c r="J23" s="23">
        <v>0.40406187053018683</v>
      </c>
      <c r="K23" s="28">
        <v>4.08</v>
      </c>
      <c r="L23" s="32">
        <v>10.9</v>
      </c>
      <c r="M23" s="25">
        <f t="shared" si="0"/>
        <v>0.37431192660550461</v>
      </c>
      <c r="N23" s="34"/>
      <c r="O23" s="25" t="e">
        <f t="shared" si="1"/>
        <v>#DIV/0!</v>
      </c>
    </row>
    <row r="24" spans="1:17" ht="19" customHeight="1" thickBot="1" x14ac:dyDescent="0.25">
      <c r="A24" s="35" t="s">
        <v>34</v>
      </c>
      <c r="B24" s="35" t="s">
        <v>15</v>
      </c>
      <c r="C24" s="36">
        <v>89.5</v>
      </c>
      <c r="D24" s="37" t="s">
        <v>16</v>
      </c>
      <c r="E24" s="38">
        <v>784.5</v>
      </c>
      <c r="F24" s="39" t="s">
        <v>19</v>
      </c>
      <c r="G24" s="40">
        <v>470.70001000000002</v>
      </c>
      <c r="H24" s="40"/>
      <c r="I24" s="39" t="s">
        <v>19</v>
      </c>
      <c r="J24" s="41">
        <v>0.39999998725302743</v>
      </c>
      <c r="K24" s="42">
        <v>3.53</v>
      </c>
      <c r="L24" s="43">
        <v>9.9</v>
      </c>
      <c r="M24" s="44">
        <f t="shared" si="0"/>
        <v>0.35656565656565653</v>
      </c>
      <c r="N24" s="43"/>
      <c r="O24" s="44" t="e">
        <f t="shared" si="1"/>
        <v>#DIV/0!</v>
      </c>
    </row>
    <row r="25" spans="1:17" ht="19" customHeight="1" thickBot="1" x14ac:dyDescent="0.3">
      <c r="A25" s="55" t="s">
        <v>35</v>
      </c>
      <c r="B25" s="56" t="s">
        <v>15</v>
      </c>
      <c r="C25" s="57">
        <v>34.5</v>
      </c>
      <c r="D25" s="58" t="s">
        <v>19</v>
      </c>
      <c r="E25" s="59">
        <v>489.48</v>
      </c>
      <c r="F25" s="58" t="s">
        <v>19</v>
      </c>
      <c r="G25" s="60">
        <v>295.22000300000002</v>
      </c>
      <c r="H25" s="60"/>
      <c r="I25" s="58" t="s">
        <v>19</v>
      </c>
      <c r="J25" s="61">
        <v>0.3968701417831168</v>
      </c>
      <c r="K25" s="62">
        <v>5.62</v>
      </c>
      <c r="L25" s="63">
        <v>15.9</v>
      </c>
      <c r="M25" s="64">
        <f t="shared" si="0"/>
        <v>0.35345911949685532</v>
      </c>
      <c r="N25" s="65"/>
      <c r="O25" s="64" t="e">
        <f t="shared" si="1"/>
        <v>#DIV/0!</v>
      </c>
      <c r="P25" s="66" t="s">
        <v>100</v>
      </c>
      <c r="Q25" s="67"/>
    </row>
    <row r="26" spans="1:17" ht="19" customHeight="1" x14ac:dyDescent="0.2">
      <c r="A26" s="45" t="s">
        <v>36</v>
      </c>
      <c r="B26" s="45" t="s">
        <v>15</v>
      </c>
      <c r="C26" s="46">
        <v>142.5</v>
      </c>
      <c r="D26" s="47" t="s">
        <v>16</v>
      </c>
      <c r="E26" s="48">
        <v>2165.86</v>
      </c>
      <c r="F26" s="49" t="s">
        <v>17</v>
      </c>
      <c r="G26" s="50">
        <v>1315.0200199999999</v>
      </c>
      <c r="H26" s="50"/>
      <c r="I26" s="49" t="s">
        <v>17</v>
      </c>
      <c r="J26" s="51">
        <v>0.39284163334656902</v>
      </c>
      <c r="K26" s="52">
        <v>5.95</v>
      </c>
      <c r="L26" s="53">
        <v>16.899999999999999</v>
      </c>
      <c r="M26" s="54">
        <f t="shared" si="0"/>
        <v>0.35207100591715978</v>
      </c>
      <c r="N26" s="53">
        <v>17.899999999999999</v>
      </c>
      <c r="O26" s="54">
        <f t="shared" si="1"/>
        <v>0.33240223463687152</v>
      </c>
    </row>
    <row r="27" spans="1:17" ht="19" customHeight="1" x14ac:dyDescent="0.2">
      <c r="A27" s="5" t="s">
        <v>37</v>
      </c>
      <c r="B27" s="5" t="s">
        <v>15</v>
      </c>
      <c r="C27" s="6">
        <v>141.5</v>
      </c>
      <c r="D27" s="7" t="s">
        <v>16</v>
      </c>
      <c r="E27" s="8">
        <v>1895.42</v>
      </c>
      <c r="F27" s="9" t="s">
        <v>17</v>
      </c>
      <c r="G27" s="16">
        <v>1156.040021</v>
      </c>
      <c r="H27" s="16"/>
      <c r="I27" s="9" t="s">
        <v>17</v>
      </c>
      <c r="J27" s="23">
        <v>0.39008767397199567</v>
      </c>
      <c r="K27" s="28">
        <v>5.53</v>
      </c>
      <c r="L27" s="32">
        <v>14.9</v>
      </c>
      <c r="M27" s="25">
        <f t="shared" si="0"/>
        <v>0.37114093959731542</v>
      </c>
      <c r="N27" s="32">
        <v>15.9</v>
      </c>
      <c r="O27" s="25">
        <f t="shared" si="1"/>
        <v>0.34779874213836481</v>
      </c>
    </row>
    <row r="28" spans="1:17" ht="19" customHeight="1" x14ac:dyDescent="0.2">
      <c r="A28" s="5" t="s">
        <v>38</v>
      </c>
      <c r="B28" s="5" t="s">
        <v>15</v>
      </c>
      <c r="C28" s="11">
        <v>40</v>
      </c>
      <c r="D28" s="12" t="s">
        <v>19</v>
      </c>
      <c r="E28" s="13">
        <v>464.78</v>
      </c>
      <c r="F28" s="12" t="s">
        <v>19</v>
      </c>
      <c r="G28" s="14">
        <v>288.10000300000002</v>
      </c>
      <c r="H28" s="14"/>
      <c r="I28" s="12" t="s">
        <v>19</v>
      </c>
      <c r="J28" s="23">
        <v>0.380136832479883</v>
      </c>
      <c r="K28" s="28">
        <v>4.66</v>
      </c>
      <c r="L28" s="32">
        <v>12.9</v>
      </c>
      <c r="M28" s="25">
        <f t="shared" si="0"/>
        <v>0.36124031007751939</v>
      </c>
      <c r="N28" s="32">
        <v>13.9</v>
      </c>
      <c r="O28" s="25">
        <f t="shared" si="1"/>
        <v>0.33525179856115106</v>
      </c>
    </row>
    <row r="29" spans="1:17" ht="19" customHeight="1" x14ac:dyDescent="0.2">
      <c r="A29" s="33" t="s">
        <v>39</v>
      </c>
      <c r="B29" s="5" t="s">
        <v>15</v>
      </c>
      <c r="C29" s="11">
        <v>20.5</v>
      </c>
      <c r="D29" s="12" t="s">
        <v>19</v>
      </c>
      <c r="E29" s="13">
        <v>270.54000000000002</v>
      </c>
      <c r="F29" s="12" t="s">
        <v>19</v>
      </c>
      <c r="G29" s="14">
        <v>168.45</v>
      </c>
      <c r="H29" s="14"/>
      <c r="I29" s="12" t="s">
        <v>19</v>
      </c>
      <c r="J29" s="23">
        <v>0.37735639831448214</v>
      </c>
      <c r="K29" s="28">
        <v>5.21</v>
      </c>
      <c r="L29" s="32">
        <v>14.9</v>
      </c>
      <c r="M29" s="25">
        <f t="shared" si="0"/>
        <v>0.34966442953020133</v>
      </c>
      <c r="N29" s="34"/>
      <c r="O29" s="25" t="e">
        <f t="shared" si="1"/>
        <v>#DIV/0!</v>
      </c>
    </row>
    <row r="30" spans="1:17" ht="19" customHeight="1" x14ac:dyDescent="0.2">
      <c r="A30" s="5" t="s">
        <v>40</v>
      </c>
      <c r="B30" s="5" t="s">
        <v>15</v>
      </c>
      <c r="C30" s="11">
        <v>41.5</v>
      </c>
      <c r="D30" s="12" t="s">
        <v>19</v>
      </c>
      <c r="E30" s="17">
        <v>839.97</v>
      </c>
      <c r="F30" s="7" t="s">
        <v>16</v>
      </c>
      <c r="G30" s="14">
        <v>523.91000099999997</v>
      </c>
      <c r="H30" s="14"/>
      <c r="I30" s="12" t="s">
        <v>19</v>
      </c>
      <c r="J30" s="23">
        <v>0.3762753419764992</v>
      </c>
      <c r="K30" s="28">
        <v>7.53</v>
      </c>
      <c r="L30" s="32">
        <v>22.9</v>
      </c>
      <c r="M30" s="25">
        <f t="shared" si="0"/>
        <v>0.32882096069868999</v>
      </c>
      <c r="N30" s="32"/>
      <c r="O30" s="25" t="e">
        <f t="shared" si="1"/>
        <v>#DIV/0!</v>
      </c>
    </row>
    <row r="31" spans="1:17" ht="19" customHeight="1" x14ac:dyDescent="0.2">
      <c r="A31" s="5" t="s">
        <v>41</v>
      </c>
      <c r="B31" s="5" t="s">
        <v>15</v>
      </c>
      <c r="C31" s="6">
        <v>136</v>
      </c>
      <c r="D31" s="7" t="s">
        <v>16</v>
      </c>
      <c r="E31" s="8">
        <v>2059.48</v>
      </c>
      <c r="F31" s="9" t="s">
        <v>17</v>
      </c>
      <c r="G31" s="16">
        <v>1289.310017</v>
      </c>
      <c r="H31" s="16"/>
      <c r="I31" s="9" t="s">
        <v>17</v>
      </c>
      <c r="J31" s="23">
        <v>0.37396332229494827</v>
      </c>
      <c r="K31" s="28">
        <v>5.71</v>
      </c>
      <c r="L31" s="32">
        <v>16.899999999999999</v>
      </c>
      <c r="M31" s="25">
        <f t="shared" si="0"/>
        <v>0.33786982248520714</v>
      </c>
      <c r="N31" s="32"/>
      <c r="O31" s="25" t="e">
        <f t="shared" si="1"/>
        <v>#DIV/0!</v>
      </c>
    </row>
    <row r="32" spans="1:17" ht="19" customHeight="1" x14ac:dyDescent="0.2">
      <c r="A32" s="33" t="s">
        <v>42</v>
      </c>
      <c r="B32" s="5" t="s">
        <v>15</v>
      </c>
      <c r="C32" s="11">
        <v>43</v>
      </c>
      <c r="D32" s="12" t="s">
        <v>19</v>
      </c>
      <c r="E32" s="13">
        <v>573.52</v>
      </c>
      <c r="F32" s="12" t="s">
        <v>19</v>
      </c>
      <c r="G32" s="14">
        <v>360.46000299999997</v>
      </c>
      <c r="H32" s="14"/>
      <c r="I32" s="12" t="s">
        <v>19</v>
      </c>
      <c r="J32" s="23">
        <v>0.37149532187194867</v>
      </c>
      <c r="K32" s="28">
        <v>4.9400000000000004</v>
      </c>
      <c r="L32" s="32">
        <v>14.9</v>
      </c>
      <c r="M32" s="25">
        <f t="shared" si="0"/>
        <v>0.33154362416107386</v>
      </c>
      <c r="N32" s="34"/>
      <c r="O32" s="25" t="e">
        <f t="shared" si="1"/>
        <v>#DIV/0!</v>
      </c>
    </row>
    <row r="33" spans="1:15" ht="19" customHeight="1" x14ac:dyDescent="0.2">
      <c r="A33" s="33" t="s">
        <v>43</v>
      </c>
      <c r="B33" s="5" t="s">
        <v>15</v>
      </c>
      <c r="C33" s="11">
        <v>42</v>
      </c>
      <c r="D33" s="12" t="s">
        <v>19</v>
      </c>
      <c r="E33" s="13">
        <v>492.09</v>
      </c>
      <c r="F33" s="12" t="s">
        <v>19</v>
      </c>
      <c r="G33" s="14">
        <v>309.44000199999999</v>
      </c>
      <c r="H33" s="14"/>
      <c r="I33" s="12" t="s">
        <v>19</v>
      </c>
      <c r="J33" s="23">
        <v>0.37117193602796239</v>
      </c>
      <c r="K33" s="28">
        <v>4.24</v>
      </c>
      <c r="L33" s="32">
        <v>12.9</v>
      </c>
      <c r="M33" s="25">
        <f t="shared" si="0"/>
        <v>0.32868217054263565</v>
      </c>
      <c r="N33" s="34"/>
      <c r="O33" s="25" t="e">
        <f t="shared" si="1"/>
        <v>#DIV/0!</v>
      </c>
    </row>
    <row r="34" spans="1:15" ht="19" customHeight="1" x14ac:dyDescent="0.2">
      <c r="A34" s="5" t="s">
        <v>44</v>
      </c>
      <c r="B34" s="5" t="s">
        <v>15</v>
      </c>
      <c r="C34" s="6">
        <v>131.5</v>
      </c>
      <c r="D34" s="7" t="s">
        <v>16</v>
      </c>
      <c r="E34" s="17">
        <v>1476.95</v>
      </c>
      <c r="F34" s="7" t="s">
        <v>16</v>
      </c>
      <c r="G34" s="10">
        <v>929.68000500000005</v>
      </c>
      <c r="H34" s="10"/>
      <c r="I34" s="7" t="s">
        <v>16</v>
      </c>
      <c r="J34" s="23">
        <v>0.37054063780087343</v>
      </c>
      <c r="K34" s="28">
        <v>4.28</v>
      </c>
      <c r="L34" s="32">
        <v>12.9</v>
      </c>
      <c r="M34" s="25">
        <f t="shared" si="0"/>
        <v>0.33178294573643413</v>
      </c>
      <c r="N34" s="32">
        <v>13.9</v>
      </c>
      <c r="O34" s="25">
        <f t="shared" si="1"/>
        <v>0.30791366906474821</v>
      </c>
    </row>
    <row r="35" spans="1:15" ht="19" customHeight="1" x14ac:dyDescent="0.2">
      <c r="A35" s="5" t="s">
        <v>45</v>
      </c>
      <c r="B35" s="5" t="s">
        <v>15</v>
      </c>
      <c r="C35" s="11">
        <v>53</v>
      </c>
      <c r="D35" s="12" t="s">
        <v>19</v>
      </c>
      <c r="E35" s="13">
        <v>737.78</v>
      </c>
      <c r="F35" s="12" t="s">
        <v>19</v>
      </c>
      <c r="G35" s="14">
        <v>464.72000700000001</v>
      </c>
      <c r="H35" s="14"/>
      <c r="I35" s="12" t="s">
        <v>19</v>
      </c>
      <c r="J35" s="23">
        <v>0.37011032150505574</v>
      </c>
      <c r="K35" s="28">
        <v>5.36</v>
      </c>
      <c r="L35" s="32">
        <v>15.9</v>
      </c>
      <c r="M35" s="25">
        <f t="shared" si="0"/>
        <v>0.33710691823899375</v>
      </c>
      <c r="N35" s="32"/>
      <c r="O35" s="25" t="e">
        <f t="shared" si="1"/>
        <v>#DIV/0!</v>
      </c>
    </row>
    <row r="36" spans="1:15" ht="19" customHeight="1" x14ac:dyDescent="0.2">
      <c r="A36" s="5" t="s">
        <v>46</v>
      </c>
      <c r="B36" s="5" t="s">
        <v>15</v>
      </c>
      <c r="C36" s="11">
        <v>75</v>
      </c>
      <c r="D36" s="12" t="s">
        <v>19</v>
      </c>
      <c r="E36" s="17">
        <v>1589.23</v>
      </c>
      <c r="F36" s="7" t="s">
        <v>16</v>
      </c>
      <c r="G36" s="10">
        <v>1001.680009</v>
      </c>
      <c r="H36" s="10"/>
      <c r="I36" s="7" t="s">
        <v>16</v>
      </c>
      <c r="J36" s="23">
        <v>0.36970733688641672</v>
      </c>
      <c r="K36" s="28"/>
      <c r="L36" s="32"/>
      <c r="M36" s="25" t="e">
        <f t="shared" si="0"/>
        <v>#DIV/0!</v>
      </c>
      <c r="N36" s="32"/>
      <c r="O36" s="25" t="e">
        <f t="shared" si="1"/>
        <v>#DIV/0!</v>
      </c>
    </row>
    <row r="37" spans="1:15" ht="19" customHeight="1" x14ac:dyDescent="0.2">
      <c r="A37" s="5" t="s">
        <v>47</v>
      </c>
      <c r="B37" s="5" t="s">
        <v>15</v>
      </c>
      <c r="C37" s="6">
        <v>134</v>
      </c>
      <c r="D37" s="7" t="s">
        <v>16</v>
      </c>
      <c r="E37" s="17">
        <v>1776.13</v>
      </c>
      <c r="F37" s="7" t="s">
        <v>16</v>
      </c>
      <c r="G37" s="10">
        <v>1122.8800120000001</v>
      </c>
      <c r="H37" s="10"/>
      <c r="I37" s="7" t="s">
        <v>16</v>
      </c>
      <c r="J37" s="23">
        <v>0.36779401732981254</v>
      </c>
      <c r="K37" s="28">
        <v>5.26</v>
      </c>
      <c r="L37" s="32">
        <v>14.9</v>
      </c>
      <c r="M37" s="25">
        <f t="shared" si="0"/>
        <v>0.3530201342281879</v>
      </c>
      <c r="N37" s="32">
        <v>15.9</v>
      </c>
      <c r="O37" s="25">
        <f t="shared" si="1"/>
        <v>0.33081761006289306</v>
      </c>
    </row>
    <row r="38" spans="1:15" ht="19" customHeight="1" x14ac:dyDescent="0.2">
      <c r="A38" s="5" t="s">
        <v>48</v>
      </c>
      <c r="B38" s="5" t="s">
        <v>15</v>
      </c>
      <c r="C38" s="11">
        <v>56</v>
      </c>
      <c r="D38" s="12" t="s">
        <v>19</v>
      </c>
      <c r="E38" s="13">
        <v>501.65</v>
      </c>
      <c r="F38" s="12" t="s">
        <v>19</v>
      </c>
      <c r="G38" s="14">
        <v>318.430003</v>
      </c>
      <c r="H38" s="14"/>
      <c r="I38" s="12" t="s">
        <v>19</v>
      </c>
      <c r="J38" s="23">
        <v>0.36523471942589458</v>
      </c>
      <c r="K38" s="28">
        <v>3.2</v>
      </c>
      <c r="L38" s="32">
        <v>9.9</v>
      </c>
      <c r="M38" s="25">
        <f t="shared" si="0"/>
        <v>0.32323232323232326</v>
      </c>
      <c r="N38" s="32"/>
      <c r="O38" s="25" t="e">
        <f t="shared" si="1"/>
        <v>#DIV/0!</v>
      </c>
    </row>
    <row r="39" spans="1:15" ht="19" customHeight="1" x14ac:dyDescent="0.2">
      <c r="A39" s="5" t="s">
        <v>49</v>
      </c>
      <c r="B39" s="5" t="s">
        <v>15</v>
      </c>
      <c r="C39" s="11">
        <v>34.5</v>
      </c>
      <c r="D39" s="12" t="s">
        <v>19</v>
      </c>
      <c r="E39" s="13">
        <v>287.7</v>
      </c>
      <c r="F39" s="12" t="s">
        <v>19</v>
      </c>
      <c r="G39" s="14">
        <v>184.49000100000001</v>
      </c>
      <c r="H39" s="14"/>
      <c r="I39" s="12" t="s">
        <v>19</v>
      </c>
      <c r="J39" s="23">
        <v>0.35874174139728887</v>
      </c>
      <c r="K39" s="28">
        <v>2.96</v>
      </c>
      <c r="L39" s="32">
        <v>8.9</v>
      </c>
      <c r="M39" s="25">
        <f t="shared" si="0"/>
        <v>0.33258426966292132</v>
      </c>
      <c r="N39" s="32"/>
      <c r="O39" s="25" t="e">
        <f t="shared" si="1"/>
        <v>#DIV/0!</v>
      </c>
    </row>
    <row r="40" spans="1:15" ht="19" customHeight="1" x14ac:dyDescent="0.2">
      <c r="A40" s="5" t="s">
        <v>50</v>
      </c>
      <c r="B40" s="5" t="s">
        <v>15</v>
      </c>
      <c r="C40" s="6">
        <v>137.5</v>
      </c>
      <c r="D40" s="7" t="s">
        <v>16</v>
      </c>
      <c r="E40" s="17">
        <v>1188.83</v>
      </c>
      <c r="F40" s="7" t="s">
        <v>16</v>
      </c>
      <c r="G40" s="10">
        <v>766.24001999999996</v>
      </c>
      <c r="H40" s="10"/>
      <c r="I40" s="7" t="s">
        <v>16</v>
      </c>
      <c r="J40" s="23">
        <v>0.3554671231378751</v>
      </c>
      <c r="K40" s="28">
        <v>3.17</v>
      </c>
      <c r="L40" s="32">
        <v>9.9</v>
      </c>
      <c r="M40" s="25">
        <f t="shared" si="0"/>
        <v>0.32020202020202021</v>
      </c>
      <c r="N40" s="32">
        <v>10.9</v>
      </c>
      <c r="O40" s="25">
        <f t="shared" si="1"/>
        <v>0.29082568807339448</v>
      </c>
    </row>
    <row r="41" spans="1:15" ht="19" customHeight="1" x14ac:dyDescent="0.2">
      <c r="A41" s="33" t="s">
        <v>51</v>
      </c>
      <c r="B41" s="5" t="s">
        <v>15</v>
      </c>
      <c r="C41" s="11">
        <v>48</v>
      </c>
      <c r="D41" s="12" t="s">
        <v>19</v>
      </c>
      <c r="E41" s="13">
        <v>614.73</v>
      </c>
      <c r="F41" s="12" t="s">
        <v>19</v>
      </c>
      <c r="G41" s="14">
        <v>396.35000300000002</v>
      </c>
      <c r="H41" s="14"/>
      <c r="I41" s="12" t="s">
        <v>19</v>
      </c>
      <c r="J41" s="23">
        <v>0.35524538740585299</v>
      </c>
      <c r="K41" s="28">
        <v>4.59</v>
      </c>
      <c r="L41" s="32">
        <v>13.9</v>
      </c>
      <c r="M41" s="25">
        <f t="shared" si="0"/>
        <v>0.33021582733812949</v>
      </c>
      <c r="N41" s="34"/>
      <c r="O41" s="25" t="e">
        <f t="shared" si="1"/>
        <v>#DIV/0!</v>
      </c>
    </row>
    <row r="42" spans="1:15" ht="19" customHeight="1" x14ac:dyDescent="0.2">
      <c r="A42" s="5" t="s">
        <v>52</v>
      </c>
      <c r="B42" s="5" t="s">
        <v>15</v>
      </c>
      <c r="C42" s="11">
        <v>46</v>
      </c>
      <c r="D42" s="12" t="s">
        <v>19</v>
      </c>
      <c r="E42" s="13">
        <v>554.11</v>
      </c>
      <c r="F42" s="12" t="s">
        <v>19</v>
      </c>
      <c r="G42" s="14">
        <v>358.10000100000002</v>
      </c>
      <c r="H42" s="14"/>
      <c r="I42" s="12" t="s">
        <v>19</v>
      </c>
      <c r="J42" s="23">
        <v>0.35373842558336799</v>
      </c>
      <c r="K42" s="28">
        <v>4.18</v>
      </c>
      <c r="L42" s="32">
        <v>12.9</v>
      </c>
      <c r="M42" s="25">
        <f t="shared" si="0"/>
        <v>0.32403100775193794</v>
      </c>
      <c r="N42" s="32">
        <v>13.9</v>
      </c>
      <c r="O42" s="25">
        <f t="shared" si="1"/>
        <v>0.30071942446043165</v>
      </c>
    </row>
    <row r="43" spans="1:15" ht="19" customHeight="1" x14ac:dyDescent="0.2">
      <c r="A43" s="5" t="s">
        <v>53</v>
      </c>
      <c r="B43" s="5" t="s">
        <v>15</v>
      </c>
      <c r="C43" s="6">
        <v>140</v>
      </c>
      <c r="D43" s="7" t="s">
        <v>16</v>
      </c>
      <c r="E43" s="17">
        <v>1317.8</v>
      </c>
      <c r="F43" s="7" t="s">
        <v>16</v>
      </c>
      <c r="G43" s="10">
        <v>854.92002100000002</v>
      </c>
      <c r="H43" s="10"/>
      <c r="I43" s="7" t="s">
        <v>16</v>
      </c>
      <c r="J43" s="23">
        <v>0.35125207087570198</v>
      </c>
      <c r="K43" s="28">
        <v>3.46</v>
      </c>
      <c r="L43" s="32">
        <v>10.9</v>
      </c>
      <c r="M43" s="25">
        <f t="shared" si="0"/>
        <v>0.31743119266055042</v>
      </c>
      <c r="N43" s="32">
        <v>11.9</v>
      </c>
      <c r="O43" s="25">
        <f t="shared" si="1"/>
        <v>0.29075630252100837</v>
      </c>
    </row>
    <row r="44" spans="1:15" ht="19" customHeight="1" x14ac:dyDescent="0.2">
      <c r="A44" s="5" t="s">
        <v>54</v>
      </c>
      <c r="B44" s="5" t="s">
        <v>15</v>
      </c>
      <c r="C44" s="6">
        <v>98.5</v>
      </c>
      <c r="D44" s="7" t="s">
        <v>16</v>
      </c>
      <c r="E44" s="17">
        <v>1345.63</v>
      </c>
      <c r="F44" s="7" t="s">
        <v>16</v>
      </c>
      <c r="G44" s="10">
        <v>874.50000599999998</v>
      </c>
      <c r="H44" s="10"/>
      <c r="I44" s="7" t="s">
        <v>16</v>
      </c>
      <c r="J44" s="23">
        <v>0.35011852738122667</v>
      </c>
      <c r="K44" s="28">
        <v>5.14</v>
      </c>
      <c r="L44" s="32">
        <v>14.9</v>
      </c>
      <c r="M44" s="25">
        <f t="shared" si="0"/>
        <v>0.34496644295302009</v>
      </c>
      <c r="N44" s="32">
        <v>15.9</v>
      </c>
      <c r="O44" s="25">
        <f t="shared" si="1"/>
        <v>0.32327044025157231</v>
      </c>
    </row>
    <row r="45" spans="1:15" ht="19" customHeight="1" x14ac:dyDescent="0.2">
      <c r="A45" s="5" t="s">
        <v>55</v>
      </c>
      <c r="B45" s="5" t="s">
        <v>15</v>
      </c>
      <c r="C45" s="15">
        <v>348</v>
      </c>
      <c r="D45" s="9" t="s">
        <v>17</v>
      </c>
      <c r="E45" s="8">
        <v>1809.92</v>
      </c>
      <c r="F45" s="9" t="s">
        <v>17</v>
      </c>
      <c r="G45" s="16">
        <v>1178.5280399999999</v>
      </c>
      <c r="H45" s="16"/>
      <c r="I45" s="9" t="s">
        <v>17</v>
      </c>
      <c r="J45" s="23">
        <v>0.34885075583451203</v>
      </c>
      <c r="K45" s="28"/>
      <c r="L45" s="32">
        <v>5.9</v>
      </c>
      <c r="M45" s="25">
        <f t="shared" si="0"/>
        <v>0</v>
      </c>
      <c r="N45" s="32">
        <v>6.9</v>
      </c>
      <c r="O45" s="25">
        <f t="shared" si="1"/>
        <v>0</v>
      </c>
    </row>
    <row r="46" spans="1:15" ht="19" customHeight="1" x14ac:dyDescent="0.2">
      <c r="A46" s="5" t="s">
        <v>56</v>
      </c>
      <c r="B46" s="5" t="s">
        <v>15</v>
      </c>
      <c r="C46" s="15">
        <v>186</v>
      </c>
      <c r="D46" s="9" t="s">
        <v>17</v>
      </c>
      <c r="E46" s="8">
        <v>2332.75</v>
      </c>
      <c r="F46" s="9" t="s">
        <v>17</v>
      </c>
      <c r="G46" s="16">
        <v>1528.1000340000001</v>
      </c>
      <c r="H46" s="16"/>
      <c r="I46" s="9" t="s">
        <v>17</v>
      </c>
      <c r="J46" s="23">
        <v>0.34493621948344227</v>
      </c>
      <c r="K46" s="28">
        <v>4.21</v>
      </c>
      <c r="L46" s="32">
        <v>13.9</v>
      </c>
      <c r="M46" s="25">
        <f t="shared" si="0"/>
        <v>0.30287769784172663</v>
      </c>
      <c r="N46" s="32">
        <v>14.9</v>
      </c>
      <c r="O46" s="25">
        <f t="shared" si="1"/>
        <v>0.28255033557046977</v>
      </c>
    </row>
    <row r="47" spans="1:15" ht="19" customHeight="1" x14ac:dyDescent="0.2">
      <c r="A47" s="5" t="s">
        <v>57</v>
      </c>
      <c r="B47" s="5" t="s">
        <v>15</v>
      </c>
      <c r="C47" s="11">
        <v>42.5</v>
      </c>
      <c r="D47" s="12" t="s">
        <v>19</v>
      </c>
      <c r="E47" s="13">
        <v>363.4</v>
      </c>
      <c r="F47" s="12" t="s">
        <v>19</v>
      </c>
      <c r="G47" s="14">
        <v>238.89</v>
      </c>
      <c r="H47" s="14"/>
      <c r="I47" s="12" t="s">
        <v>19</v>
      </c>
      <c r="J47" s="23">
        <v>0.34262520638414967</v>
      </c>
      <c r="K47" s="28"/>
      <c r="L47" s="32"/>
      <c r="M47" s="25"/>
      <c r="N47" s="32"/>
      <c r="O47" s="25"/>
    </row>
    <row r="48" spans="1:15" ht="19" customHeight="1" x14ac:dyDescent="0.2">
      <c r="A48" s="5" t="s">
        <v>58</v>
      </c>
      <c r="B48" s="5" t="s">
        <v>15</v>
      </c>
      <c r="C48" s="11">
        <v>42</v>
      </c>
      <c r="D48" s="12" t="s">
        <v>19</v>
      </c>
      <c r="E48" s="13">
        <v>342.51</v>
      </c>
      <c r="F48" s="12" t="s">
        <v>19</v>
      </c>
      <c r="G48" s="14">
        <v>225.31</v>
      </c>
      <c r="H48" s="14"/>
      <c r="I48" s="12" t="s">
        <v>19</v>
      </c>
      <c r="J48" s="23">
        <v>0.34217979037108409</v>
      </c>
      <c r="K48" s="28"/>
      <c r="L48" s="32"/>
      <c r="M48" s="25"/>
      <c r="N48" s="32"/>
      <c r="O48" s="25"/>
    </row>
    <row r="49" spans="1:15" ht="19" customHeight="1" x14ac:dyDescent="0.2">
      <c r="A49" s="5" t="s">
        <v>59</v>
      </c>
      <c r="B49" s="5" t="s">
        <v>15</v>
      </c>
      <c r="C49" s="6">
        <v>113</v>
      </c>
      <c r="D49" s="7" t="s">
        <v>16</v>
      </c>
      <c r="E49" s="17">
        <v>1218.28</v>
      </c>
      <c r="F49" s="7" t="s">
        <v>16</v>
      </c>
      <c r="G49" s="10">
        <v>805.64000999999996</v>
      </c>
      <c r="H49" s="10"/>
      <c r="I49" s="7" t="s">
        <v>16</v>
      </c>
      <c r="J49" s="23">
        <v>0.33870702137439673</v>
      </c>
      <c r="K49" s="28"/>
      <c r="L49" s="32">
        <v>11.9</v>
      </c>
      <c r="M49" s="25"/>
      <c r="N49" s="32">
        <v>12.9</v>
      </c>
      <c r="O49" s="25"/>
    </row>
    <row r="50" spans="1:15" ht="19" customHeight="1" x14ac:dyDescent="0.2">
      <c r="A50" s="5" t="s">
        <v>60</v>
      </c>
      <c r="B50" s="5" t="s">
        <v>15</v>
      </c>
      <c r="C50" s="11">
        <v>51</v>
      </c>
      <c r="D50" s="12" t="s">
        <v>19</v>
      </c>
      <c r="E50" s="17">
        <v>1025.1199999999999</v>
      </c>
      <c r="F50" s="7" t="s">
        <v>16</v>
      </c>
      <c r="G50" s="10">
        <v>678.29000499999995</v>
      </c>
      <c r="H50" s="10"/>
      <c r="I50" s="7" t="s">
        <v>16</v>
      </c>
      <c r="J50" s="23">
        <v>0.33833111733260496</v>
      </c>
      <c r="K50" s="28"/>
      <c r="L50" s="32"/>
      <c r="M50" s="25"/>
      <c r="N50" s="32"/>
      <c r="O50" s="25"/>
    </row>
    <row r="51" spans="1:15" ht="19" customHeight="1" x14ac:dyDescent="0.2">
      <c r="A51" s="5" t="s">
        <v>61</v>
      </c>
      <c r="B51" s="5" t="s">
        <v>15</v>
      </c>
      <c r="C51" s="11">
        <v>32.5</v>
      </c>
      <c r="D51" s="12" t="s">
        <v>19</v>
      </c>
      <c r="E51" s="13">
        <v>200.88</v>
      </c>
      <c r="F51" s="12" t="s">
        <v>19</v>
      </c>
      <c r="G51" s="14">
        <v>133.310002</v>
      </c>
      <c r="H51" s="14"/>
      <c r="I51" s="12" t="s">
        <v>19</v>
      </c>
      <c r="J51" s="23">
        <v>0.33636996216646753</v>
      </c>
      <c r="K51" s="28"/>
      <c r="L51" s="32"/>
      <c r="M51" s="25"/>
      <c r="N51" s="32"/>
      <c r="O51" s="25"/>
    </row>
    <row r="52" spans="1:15" ht="19" customHeight="1" x14ac:dyDescent="0.2">
      <c r="A52" s="5" t="s">
        <v>62</v>
      </c>
      <c r="B52" s="5" t="s">
        <v>15</v>
      </c>
      <c r="C52" s="11">
        <v>67.5</v>
      </c>
      <c r="D52" s="12" t="s">
        <v>19</v>
      </c>
      <c r="E52" s="13">
        <v>591.55999999999995</v>
      </c>
      <c r="F52" s="12" t="s">
        <v>19</v>
      </c>
      <c r="G52" s="14">
        <v>394.59001000000001</v>
      </c>
      <c r="H52" s="14"/>
      <c r="I52" s="12" t="s">
        <v>19</v>
      </c>
      <c r="J52" s="23">
        <v>0.33296705321522757</v>
      </c>
      <c r="K52" s="28"/>
      <c r="L52" s="32"/>
      <c r="M52" s="25"/>
      <c r="N52" s="32"/>
      <c r="O52" s="25"/>
    </row>
    <row r="53" spans="1:15" ht="19" customHeight="1" x14ac:dyDescent="0.2">
      <c r="A53" s="33" t="s">
        <v>63</v>
      </c>
      <c r="B53" s="5" t="s">
        <v>15</v>
      </c>
      <c r="C53" s="11">
        <v>35.5</v>
      </c>
      <c r="D53" s="12" t="s">
        <v>19</v>
      </c>
      <c r="E53" s="13">
        <v>437.15</v>
      </c>
      <c r="F53" s="12" t="s">
        <v>19</v>
      </c>
      <c r="G53" s="14">
        <v>291.82</v>
      </c>
      <c r="H53" s="14"/>
      <c r="I53" s="12" t="s">
        <v>19</v>
      </c>
      <c r="J53" s="23">
        <v>0.33244881619581379</v>
      </c>
      <c r="K53" s="28"/>
      <c r="L53" s="32"/>
      <c r="M53" s="25"/>
      <c r="N53" s="32"/>
      <c r="O53" s="25"/>
    </row>
    <row r="54" spans="1:15" ht="19" customHeight="1" x14ac:dyDescent="0.2">
      <c r="A54" s="5" t="s">
        <v>64</v>
      </c>
      <c r="B54" s="5" t="s">
        <v>15</v>
      </c>
      <c r="C54" s="11">
        <v>57.5</v>
      </c>
      <c r="D54" s="12" t="s">
        <v>19</v>
      </c>
      <c r="E54" s="13">
        <v>665.85</v>
      </c>
      <c r="F54" s="12" t="s">
        <v>19</v>
      </c>
      <c r="G54" s="14">
        <v>445.10000100000002</v>
      </c>
      <c r="H54" s="14"/>
      <c r="I54" s="12" t="s">
        <v>19</v>
      </c>
      <c r="J54" s="23">
        <v>0.33153112412705571</v>
      </c>
      <c r="K54" s="28"/>
      <c r="L54" s="32"/>
      <c r="M54" s="23"/>
      <c r="N54" s="32"/>
      <c r="O54" s="23"/>
    </row>
    <row r="55" spans="1:15" ht="19" customHeight="1" x14ac:dyDescent="0.2">
      <c r="A55" s="5" t="s">
        <v>65</v>
      </c>
      <c r="B55" s="5" t="s">
        <v>15</v>
      </c>
      <c r="C55" s="15">
        <v>199.5</v>
      </c>
      <c r="D55" s="9" t="s">
        <v>17</v>
      </c>
      <c r="E55" s="8">
        <v>2091.6</v>
      </c>
      <c r="F55" s="9" t="s">
        <v>17</v>
      </c>
      <c r="G55" s="16">
        <v>1409.5100440000001</v>
      </c>
      <c r="H55" s="16"/>
      <c r="I55" s="9" t="s">
        <v>17</v>
      </c>
      <c r="J55" s="23">
        <v>0.3261091776630331</v>
      </c>
      <c r="K55" s="28"/>
      <c r="L55" s="32">
        <v>11.9</v>
      </c>
      <c r="M55" s="23"/>
      <c r="N55" s="32">
        <v>12.9</v>
      </c>
      <c r="O55" s="23"/>
    </row>
    <row r="56" spans="1:15" ht="19" customHeight="1" x14ac:dyDescent="0.2">
      <c r="A56" s="5" t="s">
        <v>66</v>
      </c>
      <c r="B56" s="5" t="s">
        <v>15</v>
      </c>
      <c r="C56" s="11">
        <v>21</v>
      </c>
      <c r="D56" s="12" t="s">
        <v>19</v>
      </c>
      <c r="E56" s="13">
        <v>167.03</v>
      </c>
      <c r="F56" s="12" t="s">
        <v>19</v>
      </c>
      <c r="G56" s="14">
        <v>112.67</v>
      </c>
      <c r="H56" s="14"/>
      <c r="I56" s="12" t="s">
        <v>19</v>
      </c>
      <c r="J56" s="23">
        <v>0.32545051787104112</v>
      </c>
      <c r="K56" s="28"/>
      <c r="L56" s="32"/>
      <c r="M56" s="23"/>
      <c r="N56" s="32"/>
      <c r="O56" s="23"/>
    </row>
    <row r="57" spans="1:15" ht="19" customHeight="1" x14ac:dyDescent="0.2">
      <c r="A57" s="5" t="s">
        <v>67</v>
      </c>
      <c r="B57" s="5" t="s">
        <v>15</v>
      </c>
      <c r="C57" s="15">
        <v>275</v>
      </c>
      <c r="D57" s="9" t="s">
        <v>17</v>
      </c>
      <c r="E57" s="8">
        <v>2409.87</v>
      </c>
      <c r="F57" s="9" t="s">
        <v>17</v>
      </c>
      <c r="G57" s="16">
        <v>1626.455052</v>
      </c>
      <c r="H57" s="16"/>
      <c r="I57" s="9" t="s">
        <v>17</v>
      </c>
      <c r="J57" s="23">
        <v>0.32508597891172553</v>
      </c>
      <c r="K57" s="28"/>
      <c r="L57" s="32">
        <v>9.9</v>
      </c>
      <c r="M57" s="23"/>
      <c r="N57" s="32">
        <v>10.9</v>
      </c>
      <c r="O57" s="23"/>
    </row>
    <row r="58" spans="1:15" ht="19" customHeight="1" x14ac:dyDescent="0.2">
      <c r="A58" s="5" t="s">
        <v>68</v>
      </c>
      <c r="B58" s="5" t="s">
        <v>15</v>
      </c>
      <c r="C58" s="6">
        <v>92</v>
      </c>
      <c r="D58" s="7" t="s">
        <v>16</v>
      </c>
      <c r="E58" s="13">
        <v>802.7</v>
      </c>
      <c r="F58" s="12" t="s">
        <v>19</v>
      </c>
      <c r="G58" s="10">
        <v>541.90000999999995</v>
      </c>
      <c r="H58" s="10"/>
      <c r="I58" s="7" t="s">
        <v>16</v>
      </c>
      <c r="J58" s="23">
        <v>0.32490343839541547</v>
      </c>
      <c r="K58" s="28"/>
      <c r="L58" s="32"/>
      <c r="M58" s="23"/>
      <c r="N58" s="32"/>
      <c r="O58" s="23"/>
    </row>
    <row r="59" spans="1:15" ht="19" customHeight="1" x14ac:dyDescent="0.2">
      <c r="A59" s="5" t="s">
        <v>69</v>
      </c>
      <c r="B59" s="5" t="s">
        <v>15</v>
      </c>
      <c r="C59" s="11">
        <v>55.5</v>
      </c>
      <c r="D59" s="12" t="s">
        <v>19</v>
      </c>
      <c r="E59" s="13">
        <v>692.05</v>
      </c>
      <c r="F59" s="12" t="s">
        <v>19</v>
      </c>
      <c r="G59" s="14">
        <v>467.51000699999997</v>
      </c>
      <c r="H59" s="14"/>
      <c r="I59" s="12" t="s">
        <v>19</v>
      </c>
      <c r="J59" s="23">
        <v>0.32445631529513769</v>
      </c>
      <c r="K59" s="28"/>
      <c r="L59" s="32"/>
      <c r="M59" s="23"/>
      <c r="N59" s="32"/>
      <c r="O59" s="23"/>
    </row>
    <row r="60" spans="1:15" ht="19" customHeight="1" x14ac:dyDescent="0.2">
      <c r="A60" s="5" t="s">
        <v>70</v>
      </c>
      <c r="B60" s="5" t="s">
        <v>15</v>
      </c>
      <c r="C60" s="6">
        <v>162</v>
      </c>
      <c r="D60" s="7" t="s">
        <v>16</v>
      </c>
      <c r="E60" s="17">
        <v>1680.45</v>
      </c>
      <c r="F60" s="7" t="s">
        <v>16</v>
      </c>
      <c r="G60" s="10">
        <v>1140.740016</v>
      </c>
      <c r="H60" s="10"/>
      <c r="I60" s="7" t="s">
        <v>16</v>
      </c>
      <c r="J60" s="23">
        <v>0.32116991520128541</v>
      </c>
      <c r="K60" s="28"/>
      <c r="L60" s="32"/>
      <c r="M60" s="23"/>
      <c r="N60" s="32"/>
      <c r="O60" s="23"/>
    </row>
    <row r="61" spans="1:15" ht="19" customHeight="1" x14ac:dyDescent="0.2">
      <c r="A61" s="5" t="s">
        <v>71</v>
      </c>
      <c r="B61" s="5" t="s">
        <v>15</v>
      </c>
      <c r="C61" s="11">
        <v>67.5</v>
      </c>
      <c r="D61" s="12" t="s">
        <v>19</v>
      </c>
      <c r="E61" s="13">
        <v>724.93</v>
      </c>
      <c r="F61" s="12" t="s">
        <v>19</v>
      </c>
      <c r="G61" s="14">
        <v>492.540008</v>
      </c>
      <c r="H61" s="14"/>
      <c r="I61" s="12" t="s">
        <v>19</v>
      </c>
      <c r="J61" s="23">
        <v>0.32056887147724611</v>
      </c>
      <c r="K61" s="28"/>
      <c r="L61" s="32"/>
      <c r="M61" s="23"/>
      <c r="N61" s="32"/>
      <c r="O61" s="23"/>
    </row>
    <row r="62" spans="1:15" ht="19" customHeight="1" x14ac:dyDescent="0.2">
      <c r="A62" s="5" t="s">
        <v>72</v>
      </c>
      <c r="B62" s="5" t="s">
        <v>15</v>
      </c>
      <c r="C62" s="15">
        <v>205.5</v>
      </c>
      <c r="D62" s="9" t="s">
        <v>17</v>
      </c>
      <c r="E62" s="17">
        <v>1620.79</v>
      </c>
      <c r="F62" s="7" t="s">
        <v>16</v>
      </c>
      <c r="G62" s="10">
        <v>1102.468028</v>
      </c>
      <c r="H62" s="10"/>
      <c r="I62" s="7" t="s">
        <v>16</v>
      </c>
      <c r="J62" s="23">
        <v>0.31979588472288206</v>
      </c>
      <c r="K62" s="28"/>
      <c r="L62" s="32"/>
      <c r="M62" s="23"/>
      <c r="N62" s="32"/>
      <c r="O62" s="23"/>
    </row>
    <row r="63" spans="1:15" ht="19" customHeight="1" x14ac:dyDescent="0.2">
      <c r="A63" s="5" t="s">
        <v>73</v>
      </c>
      <c r="B63" s="5" t="s">
        <v>15</v>
      </c>
      <c r="C63" s="11">
        <v>47</v>
      </c>
      <c r="D63" s="12" t="s">
        <v>19</v>
      </c>
      <c r="E63" s="13">
        <v>577.6</v>
      </c>
      <c r="F63" s="12" t="s">
        <v>19</v>
      </c>
      <c r="G63" s="14">
        <v>393.40000199999997</v>
      </c>
      <c r="H63" s="14"/>
      <c r="I63" s="12" t="s">
        <v>19</v>
      </c>
      <c r="J63" s="23">
        <v>0.3189058137119114</v>
      </c>
      <c r="K63" s="28"/>
      <c r="L63" s="32"/>
      <c r="M63" s="23"/>
      <c r="N63" s="32"/>
      <c r="O63" s="23"/>
    </row>
    <row r="64" spans="1:15" ht="19" customHeight="1" x14ac:dyDescent="0.2">
      <c r="A64" s="5" t="s">
        <v>74</v>
      </c>
      <c r="B64" s="5" t="s">
        <v>15</v>
      </c>
      <c r="C64" s="15">
        <v>220</v>
      </c>
      <c r="D64" s="9" t="s">
        <v>17</v>
      </c>
      <c r="E64" s="8">
        <v>2368.4299999999998</v>
      </c>
      <c r="F64" s="9" t="s">
        <v>17</v>
      </c>
      <c r="G64" s="16">
        <v>1614.5166790000001</v>
      </c>
      <c r="H64" s="16"/>
      <c r="I64" s="9" t="s">
        <v>17</v>
      </c>
      <c r="J64" s="23">
        <v>0.31831775522181366</v>
      </c>
      <c r="K64" s="28"/>
      <c r="L64" s="32">
        <v>11.9</v>
      </c>
      <c r="M64" s="23"/>
      <c r="N64" s="32">
        <v>12.9</v>
      </c>
      <c r="O64" s="23"/>
    </row>
    <row r="65" spans="1:15" ht="19" customHeight="1" x14ac:dyDescent="0.2">
      <c r="A65" s="5" t="s">
        <v>75</v>
      </c>
      <c r="B65" s="5" t="s">
        <v>15</v>
      </c>
      <c r="C65" s="15">
        <v>405</v>
      </c>
      <c r="D65" s="9" t="s">
        <v>17</v>
      </c>
      <c r="E65" s="8">
        <v>5384.07</v>
      </c>
      <c r="F65" s="9" t="s">
        <v>17</v>
      </c>
      <c r="G65" s="16">
        <v>3684.4230229999998</v>
      </c>
      <c r="H65" s="16"/>
      <c r="I65" s="9" t="s">
        <v>17</v>
      </c>
      <c r="J65" s="23">
        <v>0.31568069824500794</v>
      </c>
      <c r="K65" s="28"/>
      <c r="L65" s="32"/>
      <c r="M65" s="23"/>
      <c r="N65" s="32"/>
      <c r="O65" s="23"/>
    </row>
    <row r="66" spans="1:15" ht="19" customHeight="1" x14ac:dyDescent="0.2">
      <c r="A66" s="5" t="s">
        <v>76</v>
      </c>
      <c r="B66" s="5" t="s">
        <v>15</v>
      </c>
      <c r="C66" s="15">
        <v>216</v>
      </c>
      <c r="D66" s="9" t="s">
        <v>17</v>
      </c>
      <c r="E66" s="8">
        <v>2884.87</v>
      </c>
      <c r="F66" s="9" t="s">
        <v>17</v>
      </c>
      <c r="G66" s="16">
        <v>1975.790049</v>
      </c>
      <c r="H66" s="16"/>
      <c r="I66" s="9" t="s">
        <v>17</v>
      </c>
      <c r="J66" s="23">
        <v>0.31511990176333771</v>
      </c>
      <c r="K66" s="28"/>
      <c r="L66" s="32"/>
      <c r="M66" s="23"/>
      <c r="N66" s="32"/>
      <c r="O66" s="23"/>
    </row>
    <row r="67" spans="1:15" ht="19" customHeight="1" x14ac:dyDescent="0.2">
      <c r="A67" s="33" t="s">
        <v>77</v>
      </c>
      <c r="B67" s="5" t="s">
        <v>15</v>
      </c>
      <c r="C67" s="11">
        <v>41</v>
      </c>
      <c r="D67" s="12" t="s">
        <v>19</v>
      </c>
      <c r="E67" s="13">
        <v>319.43</v>
      </c>
      <c r="F67" s="12" t="s">
        <v>19</v>
      </c>
      <c r="G67" s="14">
        <v>219.97333900000001</v>
      </c>
      <c r="H67" s="14"/>
      <c r="I67" s="12" t="s">
        <v>19</v>
      </c>
      <c r="J67" s="23">
        <v>0.31135666969289044</v>
      </c>
      <c r="K67" s="28"/>
      <c r="L67" s="32"/>
      <c r="M67" s="23"/>
      <c r="N67" s="32"/>
      <c r="O67" s="23"/>
    </row>
    <row r="68" spans="1:15" ht="19" customHeight="1" x14ac:dyDescent="0.2">
      <c r="A68" s="5" t="s">
        <v>78</v>
      </c>
      <c r="B68" s="5" t="s">
        <v>15</v>
      </c>
      <c r="C68" s="15">
        <v>168.5</v>
      </c>
      <c r="D68" s="9" t="s">
        <v>17</v>
      </c>
      <c r="E68" s="17">
        <v>1426.38</v>
      </c>
      <c r="F68" s="7" t="s">
        <v>16</v>
      </c>
      <c r="G68" s="10">
        <v>982.48001999999997</v>
      </c>
      <c r="H68" s="10"/>
      <c r="I68" s="7" t="s">
        <v>16</v>
      </c>
      <c r="J68" s="23">
        <v>0.31120737811803306</v>
      </c>
      <c r="K68" s="28"/>
      <c r="L68" s="32"/>
      <c r="M68" s="23"/>
      <c r="N68" s="32"/>
      <c r="O68" s="23"/>
    </row>
    <row r="69" spans="1:15" ht="19" customHeight="1" x14ac:dyDescent="0.2">
      <c r="A69" s="5" t="s">
        <v>79</v>
      </c>
      <c r="B69" s="5" t="s">
        <v>15</v>
      </c>
      <c r="C69" s="11">
        <v>46</v>
      </c>
      <c r="D69" s="12" t="s">
        <v>19</v>
      </c>
      <c r="E69" s="13">
        <v>450.68</v>
      </c>
      <c r="F69" s="12" t="s">
        <v>19</v>
      </c>
      <c r="G69" s="14">
        <v>312.02000099999998</v>
      </c>
      <c r="H69" s="14"/>
      <c r="I69" s="12" t="s">
        <v>19</v>
      </c>
      <c r="J69" s="23">
        <v>0.30766840995828532</v>
      </c>
      <c r="K69" s="28"/>
      <c r="L69" s="32"/>
      <c r="M69" s="23"/>
      <c r="N69" s="32"/>
      <c r="O69" s="23"/>
    </row>
    <row r="70" spans="1:15" ht="19" customHeight="1" x14ac:dyDescent="0.2">
      <c r="A70" s="5" t="s">
        <v>80</v>
      </c>
      <c r="B70" s="5" t="s">
        <v>15</v>
      </c>
      <c r="C70" s="11">
        <v>75</v>
      </c>
      <c r="D70" s="12" t="s">
        <v>19</v>
      </c>
      <c r="E70" s="17">
        <v>924.98</v>
      </c>
      <c r="F70" s="7" t="s">
        <v>16</v>
      </c>
      <c r="G70" s="10">
        <v>641.30000800000005</v>
      </c>
      <c r="H70" s="10"/>
      <c r="I70" s="7" t="s">
        <v>16</v>
      </c>
      <c r="J70" s="23">
        <v>0.30668770351791391</v>
      </c>
      <c r="K70" s="28"/>
      <c r="L70" s="32"/>
      <c r="M70" s="23"/>
      <c r="N70" s="32"/>
      <c r="O70" s="23"/>
    </row>
    <row r="71" spans="1:15" ht="19" customHeight="1" x14ac:dyDescent="0.2">
      <c r="A71" s="33" t="s">
        <v>81</v>
      </c>
      <c r="B71" s="5" t="s">
        <v>15</v>
      </c>
      <c r="C71" s="11">
        <v>33.5</v>
      </c>
      <c r="D71" s="12" t="s">
        <v>19</v>
      </c>
      <c r="E71" s="13">
        <v>400.09</v>
      </c>
      <c r="F71" s="12" t="s">
        <v>19</v>
      </c>
      <c r="G71" s="14">
        <v>277.50000199999999</v>
      </c>
      <c r="H71" s="14"/>
      <c r="I71" s="12" t="s">
        <v>19</v>
      </c>
      <c r="J71" s="23">
        <v>0.3064060536379315</v>
      </c>
      <c r="K71" s="28"/>
      <c r="L71" s="32"/>
      <c r="M71" s="23"/>
      <c r="N71" s="32"/>
      <c r="O71" s="23"/>
    </row>
    <row r="72" spans="1:15" ht="19" customHeight="1" x14ac:dyDescent="0.2">
      <c r="A72" s="5" t="s">
        <v>82</v>
      </c>
      <c r="B72" s="5" t="s">
        <v>15</v>
      </c>
      <c r="C72" s="15">
        <v>347</v>
      </c>
      <c r="D72" s="9" t="s">
        <v>17</v>
      </c>
      <c r="E72" s="8">
        <v>3667.07</v>
      </c>
      <c r="F72" s="9" t="s">
        <v>17</v>
      </c>
      <c r="G72" s="16">
        <v>2562.5100459999999</v>
      </c>
      <c r="H72" s="16"/>
      <c r="I72" s="9" t="s">
        <v>17</v>
      </c>
      <c r="J72" s="23">
        <v>0.30121049066420874</v>
      </c>
      <c r="K72" s="28"/>
      <c r="L72" s="32"/>
      <c r="M72" s="23"/>
      <c r="N72" s="32"/>
      <c r="O72" s="23"/>
    </row>
    <row r="73" spans="1:15" ht="19" customHeight="1" x14ac:dyDescent="0.2">
      <c r="A73" s="5" t="s">
        <v>83</v>
      </c>
      <c r="B73" s="5" t="s">
        <v>15</v>
      </c>
      <c r="C73" s="15">
        <v>249.5</v>
      </c>
      <c r="D73" s="9" t="s">
        <v>17</v>
      </c>
      <c r="E73" s="8">
        <v>1945.2</v>
      </c>
      <c r="F73" s="9" t="s">
        <v>17</v>
      </c>
      <c r="G73" s="16">
        <v>1359.574805</v>
      </c>
      <c r="H73" s="16"/>
      <c r="I73" s="9" t="s">
        <v>17</v>
      </c>
      <c r="J73" s="23">
        <v>0.30106168774419084</v>
      </c>
      <c r="K73" s="28"/>
      <c r="L73" s="32">
        <v>8.9</v>
      </c>
      <c r="M73" s="23"/>
      <c r="N73" s="32">
        <v>9.9</v>
      </c>
      <c r="O73" s="23"/>
    </row>
    <row r="74" spans="1:15" ht="19" customHeight="1" x14ac:dyDescent="0.2">
      <c r="A74" s="33" t="s">
        <v>84</v>
      </c>
      <c r="B74" s="5" t="s">
        <v>15</v>
      </c>
      <c r="C74" s="11">
        <v>58</v>
      </c>
      <c r="D74" s="12" t="s">
        <v>19</v>
      </c>
      <c r="E74" s="13">
        <v>674.87</v>
      </c>
      <c r="F74" s="12" t="s">
        <v>19</v>
      </c>
      <c r="G74" s="14">
        <v>473.58333800000003</v>
      </c>
      <c r="H74" s="14"/>
      <c r="I74" s="12" t="s">
        <v>19</v>
      </c>
      <c r="J74" s="23">
        <v>0.29825990487056769</v>
      </c>
      <c r="K74" s="28"/>
      <c r="L74" s="32"/>
      <c r="M74" s="23"/>
      <c r="N74" s="32"/>
      <c r="O74" s="23"/>
    </row>
    <row r="75" spans="1:15" ht="19" customHeight="1" x14ac:dyDescent="0.2">
      <c r="A75" s="5" t="s">
        <v>85</v>
      </c>
      <c r="B75" s="5" t="s">
        <v>15</v>
      </c>
      <c r="C75" s="15">
        <v>212</v>
      </c>
      <c r="D75" s="9" t="s">
        <v>17</v>
      </c>
      <c r="E75" s="17">
        <v>1322.1</v>
      </c>
      <c r="F75" s="7" t="s">
        <v>16</v>
      </c>
      <c r="G75" s="10">
        <v>933.57003599999996</v>
      </c>
      <c r="H75" s="10"/>
      <c r="I75" s="7" t="s">
        <v>16</v>
      </c>
      <c r="J75" s="23">
        <v>0.29387335602450643</v>
      </c>
      <c r="K75" s="28"/>
      <c r="L75" s="32"/>
      <c r="M75" s="23"/>
      <c r="N75" s="32"/>
      <c r="O75" s="23"/>
    </row>
    <row r="76" spans="1:15" ht="19" customHeight="1" x14ac:dyDescent="0.2">
      <c r="A76" s="33" t="s">
        <v>86</v>
      </c>
      <c r="B76" s="5" t="s">
        <v>15</v>
      </c>
      <c r="C76" s="11">
        <v>41.5</v>
      </c>
      <c r="D76" s="12" t="s">
        <v>19</v>
      </c>
      <c r="E76" s="13">
        <v>531.9</v>
      </c>
      <c r="F76" s="12" t="s">
        <v>19</v>
      </c>
      <c r="G76" s="14">
        <v>376.84000099999997</v>
      </c>
      <c r="H76" s="14"/>
      <c r="I76" s="12" t="s">
        <v>19</v>
      </c>
      <c r="J76" s="23">
        <v>0.29152096070689981</v>
      </c>
      <c r="K76" s="28"/>
      <c r="L76" s="32"/>
      <c r="M76" s="23"/>
      <c r="N76" s="32"/>
      <c r="O76" s="23"/>
    </row>
    <row r="77" spans="1:15" ht="19" customHeight="1" x14ac:dyDescent="0.2">
      <c r="A77" s="5" t="s">
        <v>87</v>
      </c>
      <c r="B77" s="5" t="s">
        <v>15</v>
      </c>
      <c r="C77" s="6">
        <v>91.5</v>
      </c>
      <c r="D77" s="7" t="s">
        <v>16</v>
      </c>
      <c r="E77" s="17">
        <v>893.95</v>
      </c>
      <c r="F77" s="7" t="s">
        <v>16</v>
      </c>
      <c r="G77" s="10">
        <v>635.92001000000005</v>
      </c>
      <c r="H77" s="10"/>
      <c r="I77" s="7" t="s">
        <v>16</v>
      </c>
      <c r="J77" s="23">
        <v>0.28864029308126848</v>
      </c>
      <c r="K77" s="28"/>
      <c r="L77" s="32"/>
      <c r="M77" s="23"/>
      <c r="N77" s="32"/>
      <c r="O77" s="23"/>
    </row>
    <row r="78" spans="1:15" ht="19" customHeight="1" x14ac:dyDescent="0.2">
      <c r="A78" s="5" t="s">
        <v>88</v>
      </c>
      <c r="B78" s="5" t="s">
        <v>15</v>
      </c>
      <c r="C78" s="11">
        <v>52.5</v>
      </c>
      <c r="D78" s="12" t="s">
        <v>19</v>
      </c>
      <c r="E78" s="13">
        <v>372.49</v>
      </c>
      <c r="F78" s="12" t="s">
        <v>19</v>
      </c>
      <c r="G78" s="14">
        <v>266.23000200000001</v>
      </c>
      <c r="H78" s="14"/>
      <c r="I78" s="12" t="s">
        <v>19</v>
      </c>
      <c r="J78" s="23">
        <v>0.28526939783618355</v>
      </c>
      <c r="K78" s="28"/>
      <c r="L78" s="32"/>
      <c r="M78" s="23"/>
      <c r="N78" s="32"/>
      <c r="O78" s="23"/>
    </row>
    <row r="79" spans="1:15" ht="19" customHeight="1" x14ac:dyDescent="0.2">
      <c r="A79" s="33" t="s">
        <v>89</v>
      </c>
      <c r="B79" s="5" t="s">
        <v>15</v>
      </c>
      <c r="C79" s="11">
        <v>57</v>
      </c>
      <c r="D79" s="12" t="s">
        <v>19</v>
      </c>
      <c r="E79" s="13">
        <v>521.72</v>
      </c>
      <c r="F79" s="12" t="s">
        <v>19</v>
      </c>
      <c r="G79" s="14">
        <v>374.180003</v>
      </c>
      <c r="H79" s="14"/>
      <c r="I79" s="12" t="s">
        <v>19</v>
      </c>
      <c r="J79" s="23">
        <v>0.28279536341332512</v>
      </c>
      <c r="K79" s="28"/>
      <c r="L79" s="32"/>
      <c r="M79" s="23"/>
      <c r="N79" s="32"/>
      <c r="O79" s="23"/>
    </row>
    <row r="80" spans="1:15" ht="19" customHeight="1" x14ac:dyDescent="0.2">
      <c r="A80" s="5" t="s">
        <v>90</v>
      </c>
      <c r="B80" s="5" t="s">
        <v>15</v>
      </c>
      <c r="C80" s="11">
        <v>12</v>
      </c>
      <c r="D80" s="12" t="s">
        <v>19</v>
      </c>
      <c r="E80" s="13">
        <v>116.58</v>
      </c>
      <c r="F80" s="12" t="s">
        <v>19</v>
      </c>
      <c r="G80" s="14">
        <v>84.81</v>
      </c>
      <c r="H80" s="14"/>
      <c r="I80" s="12" t="s">
        <v>19</v>
      </c>
      <c r="J80" s="23">
        <v>0.27251672671127125</v>
      </c>
      <c r="K80" s="28"/>
      <c r="L80" s="32"/>
      <c r="M80" s="23"/>
      <c r="N80" s="32"/>
      <c r="O80" s="23"/>
    </row>
    <row r="81" spans="1:15" ht="19" customHeight="1" x14ac:dyDescent="0.2">
      <c r="A81" s="5" t="s">
        <v>91</v>
      </c>
      <c r="B81" s="5" t="s">
        <v>15</v>
      </c>
      <c r="C81" s="6">
        <v>99</v>
      </c>
      <c r="D81" s="7" t="s">
        <v>16</v>
      </c>
      <c r="E81" s="13">
        <v>617.38</v>
      </c>
      <c r="F81" s="12" t="s">
        <v>19</v>
      </c>
      <c r="G81" s="14">
        <v>461.75250699999998</v>
      </c>
      <c r="H81" s="14"/>
      <c r="I81" s="12" t="s">
        <v>19</v>
      </c>
      <c r="J81" s="23">
        <v>0.25207731542971912</v>
      </c>
      <c r="K81" s="28"/>
      <c r="L81" s="32"/>
      <c r="M81" s="23"/>
      <c r="N81" s="32"/>
      <c r="O81" s="23"/>
    </row>
    <row r="82" spans="1:15" ht="19" customHeight="1" x14ac:dyDescent="0.2">
      <c r="A82" s="5" t="s">
        <v>92</v>
      </c>
      <c r="B82" s="5" t="s">
        <v>15</v>
      </c>
      <c r="C82" s="15">
        <v>340</v>
      </c>
      <c r="D82" s="9" t="s">
        <v>17</v>
      </c>
      <c r="E82" s="8">
        <v>3614.18</v>
      </c>
      <c r="F82" s="9" t="s">
        <v>17</v>
      </c>
      <c r="G82" s="16">
        <v>2719.9566949999999</v>
      </c>
      <c r="H82" s="16"/>
      <c r="I82" s="9" t="s">
        <v>17</v>
      </c>
      <c r="J82" s="23">
        <v>0.24742079946211867</v>
      </c>
      <c r="K82" s="28"/>
      <c r="L82" s="32"/>
      <c r="M82" s="23"/>
      <c r="N82" s="32"/>
      <c r="O82" s="23"/>
    </row>
    <row r="83" spans="1:15" ht="19" customHeight="1" x14ac:dyDescent="0.2">
      <c r="A83" s="5" t="s">
        <v>93</v>
      </c>
      <c r="B83" s="5" t="s">
        <v>15</v>
      </c>
      <c r="C83" s="15">
        <v>174</v>
      </c>
      <c r="D83" s="9" t="s">
        <v>17</v>
      </c>
      <c r="E83" s="17">
        <v>1694.92</v>
      </c>
      <c r="F83" s="7" t="s">
        <v>16</v>
      </c>
      <c r="G83" s="16">
        <v>1286.920016</v>
      </c>
      <c r="H83" s="16"/>
      <c r="I83" s="9" t="s">
        <v>17</v>
      </c>
      <c r="J83" s="23">
        <v>0.24071931654591369</v>
      </c>
      <c r="K83" s="28"/>
      <c r="L83" s="32"/>
      <c r="M83" s="23"/>
      <c r="N83" s="32"/>
      <c r="O83" s="23"/>
    </row>
    <row r="84" spans="1:15" ht="19" customHeight="1" x14ac:dyDescent="0.2">
      <c r="A84" s="5" t="s">
        <v>94</v>
      </c>
      <c r="B84" s="5" t="s">
        <v>15</v>
      </c>
      <c r="C84" s="6">
        <v>97</v>
      </c>
      <c r="D84" s="7" t="s">
        <v>16</v>
      </c>
      <c r="E84" s="17">
        <v>863.87</v>
      </c>
      <c r="F84" s="7" t="s">
        <v>16</v>
      </c>
      <c r="G84" s="10">
        <v>673.71000700000002</v>
      </c>
      <c r="H84" s="10"/>
      <c r="I84" s="7" t="s">
        <v>16</v>
      </c>
      <c r="J84" s="23">
        <v>0.22012570525657796</v>
      </c>
      <c r="K84" s="28"/>
      <c r="L84" s="32"/>
      <c r="M84" s="23"/>
      <c r="N84" s="32"/>
      <c r="O84" s="23"/>
    </row>
    <row r="85" spans="1:15" ht="19" customHeight="1" x14ac:dyDescent="0.2">
      <c r="A85" s="5" t="s">
        <v>95</v>
      </c>
      <c r="B85" s="5" t="s">
        <v>15</v>
      </c>
      <c r="C85" s="6">
        <v>152</v>
      </c>
      <c r="D85" s="7" t="s">
        <v>16</v>
      </c>
      <c r="E85" s="13">
        <v>673.44</v>
      </c>
      <c r="F85" s="12" t="s">
        <v>19</v>
      </c>
      <c r="G85" s="10">
        <v>556.465012</v>
      </c>
      <c r="H85" s="10"/>
      <c r="I85" s="7" t="s">
        <v>16</v>
      </c>
      <c r="J85" s="23">
        <v>0.17369771323354716</v>
      </c>
      <c r="K85" s="28"/>
      <c r="L85" s="32"/>
      <c r="M85" s="23"/>
      <c r="N85" s="32"/>
      <c r="O85" s="23"/>
    </row>
    <row r="86" spans="1:15" ht="19" customHeight="1" x14ac:dyDescent="0.2">
      <c r="A86" s="5" t="s">
        <v>96</v>
      </c>
      <c r="B86" s="5" t="s">
        <v>15</v>
      </c>
      <c r="C86" s="15">
        <v>178.5</v>
      </c>
      <c r="D86" s="9" t="s">
        <v>17</v>
      </c>
      <c r="E86" s="13">
        <v>631.22</v>
      </c>
      <c r="F86" s="12" t="s">
        <v>19</v>
      </c>
      <c r="G86" s="14">
        <v>534.43001600000002</v>
      </c>
      <c r="H86" s="14"/>
      <c r="I86" s="12" t="s">
        <v>19</v>
      </c>
      <c r="J86" s="23">
        <v>0.1533379550711321</v>
      </c>
      <c r="K86" s="28"/>
      <c r="L86" s="32"/>
      <c r="M86" s="23"/>
      <c r="N86" s="32"/>
      <c r="O86" s="23"/>
    </row>
    <row r="87" spans="1:15" ht="19" customHeight="1" x14ac:dyDescent="0.2">
      <c r="A87" s="18"/>
      <c r="B87" s="18"/>
      <c r="C87" s="18"/>
      <c r="D87" s="18"/>
      <c r="E87" s="19">
        <v>100853.57</v>
      </c>
      <c r="F87" s="20"/>
      <c r="G87" s="21">
        <v>64407.319280999996</v>
      </c>
      <c r="H87" s="21"/>
      <c r="I87" s="22"/>
      <c r="J87" s="22"/>
      <c r="M87" s="2"/>
      <c r="O87" s="2"/>
    </row>
  </sheetData>
  <mergeCells count="92">
    <mergeCell ref="A1:I1"/>
    <mergeCell ref="A2:I2"/>
    <mergeCell ref="A3:I3"/>
    <mergeCell ref="A4:I4"/>
    <mergeCell ref="A5:G5"/>
    <mergeCell ref="A6:B6"/>
    <mergeCell ref="C6:D6"/>
    <mergeCell ref="E6:F6"/>
    <mergeCell ref="G6:I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A87:D87"/>
    <mergeCell ref="G87:H87"/>
    <mergeCell ref="G78:H78"/>
    <mergeCell ref="G79:H79"/>
    <mergeCell ref="G80:H80"/>
    <mergeCell ref="G81:H81"/>
    <mergeCell ref="G82:H82"/>
    <mergeCell ref="I87:J87"/>
    <mergeCell ref="G83:H83"/>
    <mergeCell ref="G84:H84"/>
    <mergeCell ref="G85:H85"/>
    <mergeCell ref="G86:H86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ABC-анализ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</dc:creator>
  <cp:lastModifiedBy>Sanjar Kazakov</cp:lastModifiedBy>
  <dcterms:created xsi:type="dcterms:W3CDTF">2021-10-12T08:08:19Z</dcterms:created>
  <dcterms:modified xsi:type="dcterms:W3CDTF">2021-10-12T16:48:20Z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